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victorsim/Desktop/Projects/learn_more_v1.0/outputs/ton_rollover_model/"/>
    </mc:Choice>
  </mc:AlternateContent>
  <xr:revisionPtr revIDLastSave="0" documentId="8_{A7A17C04-F8C1-CB4D-BD7F-21542961196A}" xr6:coauthVersionLast="47" xr6:coauthVersionMax="47" xr10:uidLastSave="{00000000-0000-0000-0000-000000000000}"/>
  <bookViews>
    <workbookView xWindow="19740" yWindow="500" windowWidth="18660" windowHeight="21100" firstSheet="1" activeTab="8" xr2:uid="{00000000-000D-0000-FFFF-FFFF00000000}"/>
  </bookViews>
  <sheets>
    <sheet name="摘要" sheetId="1" r:id="rId1"/>
    <sheet name="图表" sheetId="2" r:id="rId2"/>
    <sheet name="参数" sheetId="3" r:id="rId3"/>
    <sheet name="U本位滚仓" sheetId="4" r:id="rId4"/>
    <sheet name="币本位滚仓" sheetId="5" r:id="rId5"/>
    <sheet name="风险预算滚仓" sheetId="6" r:id="rId6"/>
    <sheet name="目标币仓降杠杆" sheetId="7" r:id="rId7"/>
    <sheet name="敏感性分析" sheetId="8" r:id="rId8"/>
    <sheet name="检查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9" l="1"/>
  <c r="E12" i="9"/>
  <c r="C12" i="9"/>
  <c r="B12" i="9"/>
  <c r="C11" i="9"/>
  <c r="C10" i="9"/>
  <c r="B9" i="9"/>
  <c r="B8" i="9"/>
  <c r="E7" i="9"/>
  <c r="C7" i="9"/>
  <c r="B7" i="9"/>
  <c r="D7" i="9" s="1"/>
  <c r="C6" i="9"/>
  <c r="B6" i="9"/>
  <c r="C5" i="9"/>
  <c r="B5" i="9"/>
  <c r="D5" i="9" s="1"/>
  <c r="H20" i="8"/>
  <c r="F20" i="8" s="1"/>
  <c r="E20" i="8"/>
  <c r="D20" i="8"/>
  <c r="H19" i="8"/>
  <c r="F19" i="8"/>
  <c r="H18" i="8"/>
  <c r="F18" i="8"/>
  <c r="E18" i="8"/>
  <c r="D18" i="8"/>
  <c r="C18" i="8"/>
  <c r="B18" i="8"/>
  <c r="H17" i="8"/>
  <c r="F17" i="8"/>
  <c r="E17" i="8"/>
  <c r="D17" i="8"/>
  <c r="C17" i="8"/>
  <c r="B17" i="8"/>
  <c r="H16" i="8"/>
  <c r="F16" i="8" s="1"/>
  <c r="C16" i="8"/>
  <c r="B16" i="8"/>
  <c r="H15" i="8"/>
  <c r="D15" i="8"/>
  <c r="H14" i="8"/>
  <c r="F14" i="8"/>
  <c r="C14" i="8"/>
  <c r="B14" i="8"/>
  <c r="F11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G16" i="7"/>
  <c r="G15" i="7"/>
  <c r="G14" i="7"/>
  <c r="G13" i="7"/>
  <c r="G12" i="7"/>
  <c r="M11" i="7"/>
  <c r="G11" i="7"/>
  <c r="G10" i="7"/>
  <c r="G9" i="7"/>
  <c r="G8" i="7"/>
  <c r="C19" i="2" s="1"/>
  <c r="G7" i="7"/>
  <c r="C7" i="7"/>
  <c r="K7" i="7" s="1"/>
  <c r="L7" i="7" s="1"/>
  <c r="M6" i="7"/>
  <c r="K6" i="7"/>
  <c r="L6" i="7" s="1"/>
  <c r="G6" i="7"/>
  <c r="C6" i="7"/>
  <c r="M5" i="7"/>
  <c r="K5" i="7"/>
  <c r="L5" i="7" s="1"/>
  <c r="J5" i="7"/>
  <c r="D16" i="2" s="1"/>
  <c r="I5" i="7"/>
  <c r="G5" i="7"/>
  <c r="F5" i="7"/>
  <c r="D5" i="7"/>
  <c r="C5" i="7"/>
  <c r="S16" i="6"/>
  <c r="R16" i="6"/>
  <c r="Q16" i="6"/>
  <c r="P16" i="6"/>
  <c r="O16" i="6"/>
  <c r="N16" i="6"/>
  <c r="J16" i="6"/>
  <c r="I16" i="6"/>
  <c r="H16" i="6"/>
  <c r="G16" i="6"/>
  <c r="F16" i="6"/>
  <c r="E16" i="6"/>
  <c r="B16" i="6"/>
  <c r="A16" i="6"/>
  <c r="S15" i="6"/>
  <c r="R15" i="6"/>
  <c r="Q15" i="6"/>
  <c r="L15" i="6"/>
  <c r="K15" i="6"/>
  <c r="H15" i="6"/>
  <c r="F15" i="6"/>
  <c r="E15" i="6"/>
  <c r="B15" i="6"/>
  <c r="A15" i="6"/>
  <c r="I15" i="6" s="1"/>
  <c r="Q14" i="6"/>
  <c r="P14" i="6"/>
  <c r="O14" i="6"/>
  <c r="M14" i="6"/>
  <c r="K14" i="6"/>
  <c r="I14" i="6"/>
  <c r="G14" i="6"/>
  <c r="F14" i="6"/>
  <c r="D14" i="6"/>
  <c r="C14" i="6"/>
  <c r="A14" i="6"/>
  <c r="S14" i="6" s="1"/>
  <c r="R13" i="6"/>
  <c r="K13" i="6"/>
  <c r="I13" i="6"/>
  <c r="A13" i="6"/>
  <c r="C13" i="6" s="1"/>
  <c r="B12" i="6"/>
  <c r="A12" i="6"/>
  <c r="A11" i="6"/>
  <c r="C10" i="6"/>
  <c r="B10" i="6"/>
  <c r="A10" i="6"/>
  <c r="F9" i="6"/>
  <c r="B9" i="6"/>
  <c r="C9" i="6" s="1"/>
  <c r="N9" i="6" s="1"/>
  <c r="A9" i="6"/>
  <c r="F8" i="6"/>
  <c r="C8" i="6"/>
  <c r="N8" i="6" s="1"/>
  <c r="B8" i="6"/>
  <c r="A8" i="6"/>
  <c r="F7" i="6"/>
  <c r="A7" i="6"/>
  <c r="A6" i="6"/>
  <c r="A5" i="6"/>
  <c r="T28" i="5"/>
  <c r="S28" i="5"/>
  <c r="R28" i="5"/>
  <c r="P28" i="5"/>
  <c r="O28" i="5"/>
  <c r="N28" i="5"/>
  <c r="M28" i="5"/>
  <c r="L28" i="5"/>
  <c r="K28" i="5"/>
  <c r="J28" i="5"/>
  <c r="H28" i="5"/>
  <c r="G28" i="5"/>
  <c r="F28" i="5"/>
  <c r="E28" i="5"/>
  <c r="D28" i="5"/>
  <c r="C28" i="5"/>
  <c r="B28" i="5"/>
  <c r="A28" i="5"/>
  <c r="Q28" i="5" s="1"/>
  <c r="T27" i="5"/>
  <c r="S27" i="5"/>
  <c r="R27" i="5"/>
  <c r="N27" i="5"/>
  <c r="G27" i="5"/>
  <c r="D27" i="5"/>
  <c r="A27" i="5"/>
  <c r="B27" i="5" s="1"/>
  <c r="T26" i="5"/>
  <c r="S26" i="5"/>
  <c r="R26" i="5"/>
  <c r="P26" i="5"/>
  <c r="O26" i="5"/>
  <c r="N26" i="5"/>
  <c r="M26" i="5"/>
  <c r="L26" i="5"/>
  <c r="K26" i="5"/>
  <c r="J26" i="5"/>
  <c r="H26" i="5"/>
  <c r="G26" i="5"/>
  <c r="F26" i="5"/>
  <c r="E26" i="5"/>
  <c r="D26" i="5"/>
  <c r="C26" i="5"/>
  <c r="B26" i="5"/>
  <c r="A26" i="5"/>
  <c r="Q26" i="5" s="1"/>
  <c r="Q25" i="5"/>
  <c r="O25" i="5"/>
  <c r="N25" i="5"/>
  <c r="H25" i="5"/>
  <c r="G25" i="5"/>
  <c r="F25" i="5"/>
  <c r="A25" i="5"/>
  <c r="T24" i="5"/>
  <c r="S24" i="5"/>
  <c r="R24" i="5"/>
  <c r="P24" i="5"/>
  <c r="O24" i="5"/>
  <c r="N24" i="5"/>
  <c r="M24" i="5"/>
  <c r="L24" i="5"/>
  <c r="K24" i="5"/>
  <c r="J24" i="5"/>
  <c r="H24" i="5"/>
  <c r="G24" i="5"/>
  <c r="F24" i="5"/>
  <c r="E24" i="5"/>
  <c r="D24" i="5"/>
  <c r="C24" i="5"/>
  <c r="B24" i="5"/>
  <c r="A24" i="5"/>
  <c r="Q24" i="5" s="1"/>
  <c r="T23" i="5"/>
  <c r="S23" i="5"/>
  <c r="R23" i="5"/>
  <c r="P23" i="5"/>
  <c r="O23" i="5"/>
  <c r="N23" i="5"/>
  <c r="L23" i="5"/>
  <c r="J23" i="5"/>
  <c r="I23" i="5"/>
  <c r="G23" i="5"/>
  <c r="F23" i="5"/>
  <c r="D23" i="5"/>
  <c r="C23" i="5"/>
  <c r="B23" i="5"/>
  <c r="A23" i="5"/>
  <c r="T22" i="5"/>
  <c r="S22" i="5"/>
  <c r="R22" i="5"/>
  <c r="P22" i="5"/>
  <c r="O22" i="5"/>
  <c r="N22" i="5"/>
  <c r="M22" i="5"/>
  <c r="L22" i="5"/>
  <c r="K22" i="5"/>
  <c r="J22" i="5"/>
  <c r="H22" i="5"/>
  <c r="G22" i="5"/>
  <c r="F22" i="5"/>
  <c r="E22" i="5"/>
  <c r="D22" i="5"/>
  <c r="C22" i="5"/>
  <c r="B22" i="5"/>
  <c r="A22" i="5"/>
  <c r="Q22" i="5" s="1"/>
  <c r="T21" i="5"/>
  <c r="S21" i="5"/>
  <c r="R21" i="5"/>
  <c r="Q21" i="5"/>
  <c r="P21" i="5"/>
  <c r="K21" i="5"/>
  <c r="J21" i="5"/>
  <c r="I21" i="5"/>
  <c r="H21" i="5"/>
  <c r="G21" i="5"/>
  <c r="F21" i="5"/>
  <c r="B21" i="5"/>
  <c r="A21" i="5"/>
  <c r="T20" i="5"/>
  <c r="S20" i="5"/>
  <c r="R20" i="5"/>
  <c r="P20" i="5"/>
  <c r="O20" i="5"/>
  <c r="N20" i="5"/>
  <c r="M20" i="5"/>
  <c r="L20" i="5"/>
  <c r="K20" i="5"/>
  <c r="J20" i="5"/>
  <c r="H20" i="5"/>
  <c r="G20" i="5"/>
  <c r="F20" i="5"/>
  <c r="E20" i="5"/>
  <c r="D20" i="5"/>
  <c r="C20" i="5"/>
  <c r="B20" i="5"/>
  <c r="A20" i="5"/>
  <c r="Q20" i="5" s="1"/>
  <c r="A19" i="5"/>
  <c r="S19" i="5" s="1"/>
  <c r="T18" i="5"/>
  <c r="S18" i="5"/>
  <c r="R18" i="5"/>
  <c r="P18" i="5"/>
  <c r="O18" i="5"/>
  <c r="N18" i="5"/>
  <c r="M18" i="5"/>
  <c r="L18" i="5"/>
  <c r="K18" i="5"/>
  <c r="J18" i="5"/>
  <c r="H18" i="5"/>
  <c r="G18" i="5"/>
  <c r="F18" i="5"/>
  <c r="E18" i="5"/>
  <c r="D18" i="5"/>
  <c r="C18" i="5"/>
  <c r="B18" i="5"/>
  <c r="A18" i="5"/>
  <c r="Q18" i="5" s="1"/>
  <c r="J17" i="5"/>
  <c r="A17" i="5"/>
  <c r="B17" i="5" s="1"/>
  <c r="D16" i="5"/>
  <c r="C16" i="5"/>
  <c r="E16" i="5" s="1"/>
  <c r="A16" i="5"/>
  <c r="C15" i="5"/>
  <c r="B16" i="5" s="1"/>
  <c r="R16" i="5" s="1"/>
  <c r="B15" i="5"/>
  <c r="R15" i="5" s="1"/>
  <c r="A15" i="5"/>
  <c r="E14" i="5"/>
  <c r="C14" i="5"/>
  <c r="A14" i="5"/>
  <c r="A13" i="5"/>
  <c r="B13" i="5" s="1"/>
  <c r="R13" i="5" s="1"/>
  <c r="C12" i="5"/>
  <c r="E12" i="5" s="1"/>
  <c r="A12" i="5"/>
  <c r="C11" i="5"/>
  <c r="A11" i="5"/>
  <c r="C10" i="5"/>
  <c r="E10" i="5" s="1"/>
  <c r="A10" i="5"/>
  <c r="A9" i="5"/>
  <c r="A8" i="5"/>
  <c r="A7" i="5"/>
  <c r="A6" i="5"/>
  <c r="R5" i="5"/>
  <c r="G5" i="5"/>
  <c r="F5" i="5"/>
  <c r="E5" i="5"/>
  <c r="D5" i="5"/>
  <c r="C5" i="5"/>
  <c r="B5" i="5"/>
  <c r="A5" i="5"/>
  <c r="A28" i="4"/>
  <c r="Q27" i="4"/>
  <c r="P27" i="4"/>
  <c r="O27" i="4"/>
  <c r="L27" i="4"/>
  <c r="J27" i="4"/>
  <c r="I27" i="4"/>
  <c r="G27" i="4"/>
  <c r="F27" i="4"/>
  <c r="D27" i="4"/>
  <c r="C27" i="4"/>
  <c r="A27" i="4"/>
  <c r="A26" i="4"/>
  <c r="R25" i="4"/>
  <c r="P25" i="4"/>
  <c r="O25" i="4"/>
  <c r="N25" i="4"/>
  <c r="M25" i="4"/>
  <c r="L25" i="4"/>
  <c r="K25" i="4"/>
  <c r="J25" i="4"/>
  <c r="H25" i="4"/>
  <c r="G25" i="4"/>
  <c r="F25" i="4"/>
  <c r="E25" i="4"/>
  <c r="D25" i="4"/>
  <c r="C25" i="4"/>
  <c r="B25" i="4"/>
  <c r="A25" i="4"/>
  <c r="Q25" i="4" s="1"/>
  <c r="R24" i="4"/>
  <c r="Q24" i="4"/>
  <c r="P24" i="4"/>
  <c r="M24" i="4"/>
  <c r="J24" i="4"/>
  <c r="I24" i="4"/>
  <c r="H24" i="4"/>
  <c r="G24" i="4"/>
  <c r="F24" i="4"/>
  <c r="E24" i="4"/>
  <c r="A24" i="4"/>
  <c r="P23" i="4"/>
  <c r="O23" i="4"/>
  <c r="N23" i="4"/>
  <c r="L23" i="4"/>
  <c r="I23" i="4"/>
  <c r="A23" i="4"/>
  <c r="C23" i="4" s="1"/>
  <c r="Q22" i="4"/>
  <c r="P22" i="4"/>
  <c r="L22" i="4"/>
  <c r="J22" i="4"/>
  <c r="I22" i="4"/>
  <c r="F22" i="4"/>
  <c r="E22" i="4"/>
  <c r="D22" i="4"/>
  <c r="A22" i="4"/>
  <c r="N22" i="4" s="1"/>
  <c r="P21" i="4"/>
  <c r="N21" i="4"/>
  <c r="M21" i="4"/>
  <c r="L21" i="4"/>
  <c r="A21" i="4"/>
  <c r="C21" i="4" s="1"/>
  <c r="R20" i="4"/>
  <c r="Q20" i="4"/>
  <c r="K20" i="4"/>
  <c r="J20" i="4"/>
  <c r="A20" i="4"/>
  <c r="H20" i="4" s="1"/>
  <c r="R19" i="4"/>
  <c r="Q19" i="4"/>
  <c r="P19" i="4"/>
  <c r="O19" i="4"/>
  <c r="J19" i="4"/>
  <c r="I19" i="4"/>
  <c r="H19" i="4"/>
  <c r="G19" i="4"/>
  <c r="E19" i="4"/>
  <c r="C19" i="4"/>
  <c r="A19" i="4"/>
  <c r="L19" i="4" s="1"/>
  <c r="Q18" i="4"/>
  <c r="N18" i="4"/>
  <c r="L18" i="4"/>
  <c r="K18" i="4"/>
  <c r="F18" i="4"/>
  <c r="E18" i="4"/>
  <c r="C18" i="4"/>
  <c r="B18" i="4"/>
  <c r="A18" i="4"/>
  <c r="A17" i="4"/>
  <c r="C17" i="4" s="1"/>
  <c r="A16" i="4"/>
  <c r="A15" i="4"/>
  <c r="A14" i="4"/>
  <c r="A13" i="4"/>
  <c r="A12" i="4"/>
  <c r="A11" i="4"/>
  <c r="A10" i="4"/>
  <c r="C9" i="4"/>
  <c r="A9" i="4"/>
  <c r="A8" i="4"/>
  <c r="C8" i="4" s="1"/>
  <c r="A7" i="4"/>
  <c r="A6" i="4"/>
  <c r="B5" i="4"/>
  <c r="P5" i="4" s="1"/>
  <c r="A5" i="4"/>
  <c r="B23" i="3"/>
  <c r="B22" i="3"/>
  <c r="B21" i="3"/>
  <c r="C27" i="2"/>
  <c r="A27" i="2"/>
  <c r="C26" i="2"/>
  <c r="A26" i="2"/>
  <c r="A25" i="2"/>
  <c r="C24" i="2"/>
  <c r="A24" i="2"/>
  <c r="C23" i="2"/>
  <c r="A23" i="2"/>
  <c r="C22" i="2"/>
  <c r="A22" i="2"/>
  <c r="C21" i="2"/>
  <c r="A21" i="2"/>
  <c r="C20" i="2"/>
  <c r="A20" i="2"/>
  <c r="A19" i="2"/>
  <c r="C18" i="2"/>
  <c r="B18" i="2"/>
  <c r="A18" i="2"/>
  <c r="C17" i="2"/>
  <c r="B17" i="2"/>
  <c r="A17" i="2"/>
  <c r="C16" i="2"/>
  <c r="B16" i="2"/>
  <c r="A16" i="2"/>
  <c r="B5" i="2"/>
  <c r="B19" i="1"/>
  <c r="B13" i="1"/>
  <c r="B9" i="1"/>
  <c r="B5" i="1"/>
  <c r="B21" i="1" s="1"/>
  <c r="B11" i="4" l="1"/>
  <c r="D11" i="4" s="1"/>
  <c r="O11" i="4" s="1"/>
  <c r="O26" i="4"/>
  <c r="G26" i="4"/>
  <c r="K26" i="4"/>
  <c r="B26" i="4"/>
  <c r="P26" i="4"/>
  <c r="E26" i="4"/>
  <c r="R26" i="4"/>
  <c r="F26" i="4"/>
  <c r="Q26" i="4"/>
  <c r="D26" i="4"/>
  <c r="H26" i="4"/>
  <c r="N26" i="4"/>
  <c r="C26" i="4"/>
  <c r="B6" i="4"/>
  <c r="P6" i="4" s="1"/>
  <c r="P14" i="4"/>
  <c r="Q14" i="4" s="1"/>
  <c r="C14" i="4"/>
  <c r="B15" i="4" s="1"/>
  <c r="C13" i="4"/>
  <c r="E13" i="4"/>
  <c r="B10" i="4"/>
  <c r="P10" i="4" s="1"/>
  <c r="E10" i="4"/>
  <c r="R17" i="4"/>
  <c r="J17" i="4"/>
  <c r="B17" i="4"/>
  <c r="M17" i="4"/>
  <c r="D17" i="4"/>
  <c r="P17" i="4"/>
  <c r="F17" i="4"/>
  <c r="E17" i="4"/>
  <c r="Q17" i="4"/>
  <c r="G17" i="4"/>
  <c r="O17" i="4"/>
  <c r="K28" i="4"/>
  <c r="C28" i="4"/>
  <c r="P28" i="4"/>
  <c r="G28" i="4"/>
  <c r="L28" i="4"/>
  <c r="B28" i="4"/>
  <c r="M28" i="4"/>
  <c r="J28" i="4"/>
  <c r="F28" i="4"/>
  <c r="E28" i="4"/>
  <c r="R28" i="4"/>
  <c r="D28" i="4"/>
  <c r="H28" i="4"/>
  <c r="I26" i="4"/>
  <c r="K8" i="7"/>
  <c r="L8" i="7" s="1"/>
  <c r="E11" i="4"/>
  <c r="E14" i="4"/>
  <c r="D6" i="5"/>
  <c r="R6" i="5"/>
  <c r="B6" i="5"/>
  <c r="C25" i="2"/>
  <c r="C10" i="4"/>
  <c r="C11" i="4"/>
  <c r="I28" i="4"/>
  <c r="C6" i="4"/>
  <c r="E6" i="4" s="1"/>
  <c r="H17" i="4"/>
  <c r="J26" i="4"/>
  <c r="N28" i="4"/>
  <c r="B7" i="4"/>
  <c r="P7" i="4" s="1"/>
  <c r="I17" i="4"/>
  <c r="L26" i="4"/>
  <c r="O28" i="4"/>
  <c r="C7" i="5"/>
  <c r="B8" i="5" s="1"/>
  <c r="R8" i="5" s="1"/>
  <c r="D13" i="5"/>
  <c r="M19" i="5"/>
  <c r="E19" i="5"/>
  <c r="Q19" i="5"/>
  <c r="H19" i="5"/>
  <c r="P19" i="5"/>
  <c r="F19" i="5"/>
  <c r="R19" i="5"/>
  <c r="D19" i="5"/>
  <c r="K19" i="5"/>
  <c r="L19" i="5"/>
  <c r="J19" i="5"/>
  <c r="I19" i="5"/>
  <c r="G19" i="5"/>
  <c r="C19" i="5"/>
  <c r="N19" i="5"/>
  <c r="G16" i="8"/>
  <c r="C9" i="9"/>
  <c r="E9" i="9" s="1"/>
  <c r="G17" i="8"/>
  <c r="G20" i="8"/>
  <c r="G19" i="8"/>
  <c r="G18" i="8"/>
  <c r="G15" i="8"/>
  <c r="G14" i="8"/>
  <c r="C7" i="4"/>
  <c r="E7" i="4" s="1"/>
  <c r="E8" i="4"/>
  <c r="B14" i="4"/>
  <c r="D14" i="4" s="1"/>
  <c r="O14" i="4" s="1"/>
  <c r="K17" i="4"/>
  <c r="L20" i="4"/>
  <c r="D20" i="4"/>
  <c r="N20" i="4"/>
  <c r="E20" i="4"/>
  <c r="O20" i="4"/>
  <c r="C20" i="4"/>
  <c r="M20" i="4"/>
  <c r="B20" i="4"/>
  <c r="P20" i="4"/>
  <c r="F20" i="4"/>
  <c r="Q21" i="4"/>
  <c r="I21" i="4"/>
  <c r="K21" i="4"/>
  <c r="B21" i="4"/>
  <c r="O21" i="4"/>
  <c r="E21" i="4"/>
  <c r="G21" i="4"/>
  <c r="R21" i="4"/>
  <c r="F21" i="4"/>
  <c r="H21" i="4"/>
  <c r="M26" i="4"/>
  <c r="Q28" i="4"/>
  <c r="C9" i="5"/>
  <c r="B10" i="5" s="1"/>
  <c r="R10" i="5" s="1"/>
  <c r="R9" i="5"/>
  <c r="D9" i="5"/>
  <c r="B9" i="5"/>
  <c r="B19" i="5"/>
  <c r="N8" i="7"/>
  <c r="B8" i="4"/>
  <c r="D8" i="4" s="1"/>
  <c r="O8" i="4" s="1"/>
  <c r="L17" i="4"/>
  <c r="G20" i="4"/>
  <c r="M23" i="4"/>
  <c r="E23" i="4"/>
  <c r="K23" i="4"/>
  <c r="B23" i="4"/>
  <c r="J23" i="4"/>
  <c r="R23" i="4"/>
  <c r="G23" i="4"/>
  <c r="F23" i="4"/>
  <c r="H23" i="4"/>
  <c r="Q23" i="4"/>
  <c r="M17" i="5"/>
  <c r="E17" i="5"/>
  <c r="L17" i="5"/>
  <c r="C17" i="5"/>
  <c r="S17" i="5"/>
  <c r="I17" i="5"/>
  <c r="Q17" i="5"/>
  <c r="F17" i="5"/>
  <c r="K17" i="5"/>
  <c r="G17" i="5"/>
  <c r="T17" i="5"/>
  <c r="D17" i="5"/>
  <c r="P17" i="5"/>
  <c r="O17" i="5"/>
  <c r="N17" i="5"/>
  <c r="R17" i="5"/>
  <c r="O19" i="5"/>
  <c r="B24" i="3"/>
  <c r="E9" i="4"/>
  <c r="N17" i="4"/>
  <c r="D21" i="4"/>
  <c r="D5" i="4"/>
  <c r="E5" i="4"/>
  <c r="O5" i="4"/>
  <c r="Q5" i="4" s="1"/>
  <c r="F5" i="4"/>
  <c r="G5" i="4" s="1"/>
  <c r="C5" i="4"/>
  <c r="B9" i="4"/>
  <c r="P9" i="4" s="1"/>
  <c r="P18" i="4"/>
  <c r="H18" i="4"/>
  <c r="M18" i="4"/>
  <c r="D18" i="4"/>
  <c r="I18" i="4"/>
  <c r="R18" i="4"/>
  <c r="G18" i="4"/>
  <c r="J18" i="4"/>
  <c r="O18" i="4"/>
  <c r="I20" i="4"/>
  <c r="J21" i="4"/>
  <c r="D23" i="4"/>
  <c r="C6" i="5"/>
  <c r="E6" i="5" s="1"/>
  <c r="E8" i="5"/>
  <c r="C8" i="5"/>
  <c r="H17" i="5"/>
  <c r="T19" i="5"/>
  <c r="F12" i="6"/>
  <c r="C12" i="6"/>
  <c r="N12" i="6" s="1"/>
  <c r="C16" i="4"/>
  <c r="E16" i="4" s="1"/>
  <c r="G9" i="8"/>
  <c r="G5" i="8"/>
  <c r="M13" i="7"/>
  <c r="M10" i="7"/>
  <c r="C42" i="9"/>
  <c r="M14" i="7"/>
  <c r="M12" i="7"/>
  <c r="C41" i="9"/>
  <c r="G6" i="8"/>
  <c r="M8" i="7"/>
  <c r="M7" i="7"/>
  <c r="G10" i="8"/>
  <c r="G7" i="8"/>
  <c r="G11" i="8"/>
  <c r="M16" i="7"/>
  <c r="C8" i="9"/>
  <c r="D8" i="9" s="1"/>
  <c r="G8" i="8"/>
  <c r="M9" i="7"/>
  <c r="M15" i="7"/>
  <c r="C12" i="4"/>
  <c r="E12" i="4" s="1"/>
  <c r="C15" i="4"/>
  <c r="E15" i="4" s="1"/>
  <c r="B19" i="4"/>
  <c r="C22" i="4"/>
  <c r="K24" i="4"/>
  <c r="C24" i="4"/>
  <c r="L24" i="4"/>
  <c r="B24" i="4"/>
  <c r="N24" i="4"/>
  <c r="D24" i="4"/>
  <c r="O24" i="4"/>
  <c r="M27" i="4"/>
  <c r="E27" i="4"/>
  <c r="K27" i="4"/>
  <c r="B27" i="4"/>
  <c r="R27" i="4"/>
  <c r="H27" i="4"/>
  <c r="N27" i="4"/>
  <c r="C8" i="7"/>
  <c r="M13" i="6"/>
  <c r="E13" i="6"/>
  <c r="O13" i="6"/>
  <c r="F13" i="6"/>
  <c r="J13" i="6"/>
  <c r="Q13" i="6"/>
  <c r="G13" i="6"/>
  <c r="L13" i="6"/>
  <c r="H13" i="6"/>
  <c r="S13" i="6"/>
  <c r="D13" i="6"/>
  <c r="P13" i="6"/>
  <c r="N13" i="6"/>
  <c r="N9" i="7"/>
  <c r="B12" i="4"/>
  <c r="P12" i="4" s="1"/>
  <c r="N19" i="4"/>
  <c r="F19" i="4"/>
  <c r="M19" i="4"/>
  <c r="D19" i="4"/>
  <c r="K19" i="4"/>
  <c r="O22" i="4"/>
  <c r="G22" i="4"/>
  <c r="K22" i="4"/>
  <c r="B22" i="4"/>
  <c r="R22" i="4"/>
  <c r="H22" i="4"/>
  <c r="M22" i="4"/>
  <c r="B11" i="5"/>
  <c r="C13" i="5"/>
  <c r="B14" i="5" s="1"/>
  <c r="M27" i="5"/>
  <c r="E27" i="5"/>
  <c r="Q27" i="5"/>
  <c r="H27" i="5"/>
  <c r="P27" i="5"/>
  <c r="F27" i="5"/>
  <c r="O27" i="5"/>
  <c r="C27" i="5"/>
  <c r="K27" i="5"/>
  <c r="J27" i="5"/>
  <c r="L27" i="5"/>
  <c r="I27" i="5"/>
  <c r="B13" i="6"/>
  <c r="B12" i="5"/>
  <c r="E11" i="5"/>
  <c r="M25" i="5"/>
  <c r="E25" i="5"/>
  <c r="L25" i="5"/>
  <c r="C25" i="5"/>
  <c r="S25" i="5"/>
  <c r="I25" i="5"/>
  <c r="P25" i="5"/>
  <c r="D25" i="5"/>
  <c r="K25" i="5"/>
  <c r="J25" i="5"/>
  <c r="R25" i="5"/>
  <c r="E5" i="6"/>
  <c r="G5" i="6" s="1"/>
  <c r="D5" i="6"/>
  <c r="Q5" i="6"/>
  <c r="F5" i="6"/>
  <c r="B7" i="6"/>
  <c r="C7" i="6" s="1"/>
  <c r="N7" i="6" s="1"/>
  <c r="E15" i="5"/>
  <c r="D15" i="5"/>
  <c r="B25" i="5"/>
  <c r="T25" i="5"/>
  <c r="B5" i="6"/>
  <c r="C5" i="6" s="1"/>
  <c r="N5" i="6" s="1"/>
  <c r="B6" i="6"/>
  <c r="C6" i="6"/>
  <c r="N6" i="6" s="1"/>
  <c r="F6" i="6"/>
  <c r="C11" i="6"/>
  <c r="N11" i="6" s="1"/>
  <c r="F11" i="6"/>
  <c r="B11" i="6"/>
  <c r="M21" i="5"/>
  <c r="E21" i="5"/>
  <c r="L21" i="5"/>
  <c r="C21" i="5"/>
  <c r="O21" i="5"/>
  <c r="D21" i="5"/>
  <c r="N21" i="5"/>
  <c r="B42" i="9"/>
  <c r="N5" i="7"/>
  <c r="B41" i="9"/>
  <c r="H5" i="7"/>
  <c r="I6" i="7" s="1"/>
  <c r="D6" i="7" s="1"/>
  <c r="N6" i="7"/>
  <c r="F15" i="8"/>
  <c r="E15" i="8"/>
  <c r="B15" i="8"/>
  <c r="C15" i="8"/>
  <c r="E5" i="9"/>
  <c r="O15" i="6"/>
  <c r="G15" i="6"/>
  <c r="M15" i="6"/>
  <c r="D15" i="6"/>
  <c r="N15" i="6"/>
  <c r="C15" i="6"/>
  <c r="J15" i="6"/>
  <c r="P15" i="6"/>
  <c r="B19" i="8"/>
  <c r="E19" i="8"/>
  <c r="D19" i="8"/>
  <c r="C19" i="8"/>
  <c r="I25" i="4"/>
  <c r="H5" i="5"/>
  <c r="J5" i="5"/>
  <c r="M23" i="5"/>
  <c r="E23" i="5"/>
  <c r="Q23" i="5"/>
  <c r="H23" i="5"/>
  <c r="K23" i="5"/>
  <c r="N10" i="6"/>
  <c r="F10" i="6"/>
  <c r="H14" i="6"/>
  <c r="L16" i="6"/>
  <c r="D16" i="6"/>
  <c r="M16" i="6"/>
  <c r="C16" i="6"/>
  <c r="K16" i="6"/>
  <c r="E6" i="9"/>
  <c r="D6" i="9"/>
  <c r="R14" i="6"/>
  <c r="J14" i="6"/>
  <c r="B14" i="6"/>
  <c r="N14" i="6"/>
  <c r="E14" i="6"/>
  <c r="L14" i="6"/>
  <c r="N7" i="7"/>
  <c r="N10" i="7"/>
  <c r="E14" i="8"/>
  <c r="D14" i="8"/>
  <c r="D16" i="8"/>
  <c r="E16" i="8"/>
  <c r="C20" i="8"/>
  <c r="B20" i="8"/>
  <c r="I18" i="5"/>
  <c r="I20" i="5"/>
  <c r="I22" i="5"/>
  <c r="I24" i="5"/>
  <c r="I26" i="5"/>
  <c r="I28" i="5"/>
  <c r="R6" i="4" l="1"/>
  <c r="R7" i="4"/>
  <c r="R10" i="4"/>
  <c r="Q10" i="4"/>
  <c r="Q9" i="4"/>
  <c r="Q5" i="5"/>
  <c r="L5" i="5"/>
  <c r="M5" i="5"/>
  <c r="K5" i="5"/>
  <c r="I5" i="5"/>
  <c r="D11" i="5"/>
  <c r="R11" i="5"/>
  <c r="E41" i="9"/>
  <c r="D41" i="9"/>
  <c r="R12" i="4"/>
  <c r="Q12" i="4"/>
  <c r="Q6" i="4"/>
  <c r="R5" i="4"/>
  <c r="D9" i="9"/>
  <c r="D6" i="4"/>
  <c r="O6" i="4" s="1"/>
  <c r="P11" i="4"/>
  <c r="D10" i="5"/>
  <c r="E9" i="5"/>
  <c r="C9" i="7"/>
  <c r="B19" i="2"/>
  <c r="B7" i="5"/>
  <c r="D10" i="4"/>
  <c r="O10" i="4" s="1"/>
  <c r="R14" i="4"/>
  <c r="I5" i="6"/>
  <c r="H5" i="6"/>
  <c r="J5" i="4"/>
  <c r="I5" i="4"/>
  <c r="H5" i="4"/>
  <c r="E42" i="9"/>
  <c r="D42" i="9"/>
  <c r="D9" i="4"/>
  <c r="O9" i="4" s="1"/>
  <c r="R9" i="4" s="1"/>
  <c r="P8" i="4"/>
  <c r="D12" i="4"/>
  <c r="O12" i="4" s="1"/>
  <c r="D7" i="4"/>
  <c r="O7" i="4" s="1"/>
  <c r="Q7" i="4" s="1"/>
  <c r="E8" i="9"/>
  <c r="R14" i="5"/>
  <c r="D14" i="5"/>
  <c r="E7" i="5"/>
  <c r="D8" i="5"/>
  <c r="R12" i="5"/>
  <c r="D12" i="5"/>
  <c r="E13" i="5"/>
  <c r="F6" i="7"/>
  <c r="H6" i="7"/>
  <c r="I7" i="7" s="1"/>
  <c r="D7" i="7"/>
  <c r="J6" i="7"/>
  <c r="D17" i="2" s="1"/>
  <c r="B16" i="4"/>
  <c r="B13" i="4"/>
  <c r="D15" i="4"/>
  <c r="O15" i="4" s="1"/>
  <c r="P15" i="4"/>
  <c r="K5" i="4" l="1"/>
  <c r="L5" i="4"/>
  <c r="P16" i="4"/>
  <c r="D16" i="4"/>
  <c r="O16" i="4" s="1"/>
  <c r="Q8" i="4"/>
  <c r="R8" i="4"/>
  <c r="C10" i="7"/>
  <c r="B20" i="2"/>
  <c r="K9" i="7"/>
  <c r="L9" i="7" s="1"/>
  <c r="F7" i="7"/>
  <c r="J7" i="7"/>
  <c r="D18" i="2" s="1"/>
  <c r="H7" i="7"/>
  <c r="I8" i="7" s="1"/>
  <c r="D8" i="7"/>
  <c r="R5" i="6"/>
  <c r="O5" i="6"/>
  <c r="P5" i="6" s="1"/>
  <c r="Q6" i="6"/>
  <c r="J5" i="6"/>
  <c r="L5" i="6" s="1"/>
  <c r="M5" i="6" s="1"/>
  <c r="K5" i="6"/>
  <c r="D6" i="6" s="1"/>
  <c r="E6" i="6" s="1"/>
  <c r="G6" i="6" s="1"/>
  <c r="R11" i="4"/>
  <c r="Q11" i="4"/>
  <c r="N5" i="5"/>
  <c r="R15" i="4"/>
  <c r="Q15" i="4"/>
  <c r="T5" i="5"/>
  <c r="S5" i="5"/>
  <c r="D13" i="4"/>
  <c r="O13" i="4" s="1"/>
  <c r="P13" i="4"/>
  <c r="R7" i="5"/>
  <c r="D7" i="5"/>
  <c r="H6" i="6" l="1"/>
  <c r="I6" i="6"/>
  <c r="H8" i="7"/>
  <c r="I9" i="7" s="1"/>
  <c r="D9" i="7"/>
  <c r="F8" i="7"/>
  <c r="J8" i="7"/>
  <c r="D19" i="2" s="1"/>
  <c r="R16" i="4"/>
  <c r="Q16" i="4"/>
  <c r="O5" i="5"/>
  <c r="P5" i="5" s="1"/>
  <c r="F6" i="5"/>
  <c r="S5" i="6"/>
  <c r="M5" i="4"/>
  <c r="Q13" i="4"/>
  <c r="R13" i="4"/>
  <c r="C11" i="7"/>
  <c r="B21" i="2"/>
  <c r="K10" i="7"/>
  <c r="L10" i="7" s="1"/>
  <c r="G6" i="5" l="1"/>
  <c r="H6" i="5" s="1"/>
  <c r="B10" i="9"/>
  <c r="B8" i="1"/>
  <c r="F6" i="4"/>
  <c r="N5" i="4"/>
  <c r="C12" i="7"/>
  <c r="B22" i="2"/>
  <c r="K11" i="7"/>
  <c r="L11" i="7" s="1"/>
  <c r="N11" i="7" s="1"/>
  <c r="H9" i="7"/>
  <c r="I10" i="7" s="1"/>
  <c r="D10" i="7" s="1"/>
  <c r="F9" i="7"/>
  <c r="J9" i="7"/>
  <c r="D20" i="2" s="1"/>
  <c r="K6" i="6"/>
  <c r="D7" i="6" s="1"/>
  <c r="E7" i="6" s="1"/>
  <c r="G7" i="6" s="1"/>
  <c r="O6" i="6"/>
  <c r="P6" i="6" s="1"/>
  <c r="J6" i="6"/>
  <c r="L6" i="6" s="1"/>
  <c r="M6" i="6" s="1"/>
  <c r="I7" i="6" l="1"/>
  <c r="H7" i="6"/>
  <c r="F10" i="7"/>
  <c r="H10" i="7"/>
  <c r="I11" i="7" s="1"/>
  <c r="D11" i="7" s="1"/>
  <c r="J10" i="7"/>
  <c r="D21" i="2" s="1"/>
  <c r="C13" i="7"/>
  <c r="K12" i="7"/>
  <c r="L12" i="7" s="1"/>
  <c r="N12" i="7" s="1"/>
  <c r="B23" i="2"/>
  <c r="Q7" i="6"/>
  <c r="S6" i="6"/>
  <c r="G6" i="4"/>
  <c r="E10" i="9"/>
  <c r="D10" i="9"/>
  <c r="R6" i="6"/>
  <c r="C6" i="2"/>
  <c r="C22" i="1"/>
  <c r="I6" i="5"/>
  <c r="L6" i="5"/>
  <c r="J6" i="5"/>
  <c r="Q6" i="5"/>
  <c r="K6" i="5"/>
  <c r="M6" i="5"/>
  <c r="J11" i="7" l="1"/>
  <c r="D22" i="2" s="1"/>
  <c r="F11" i="7"/>
  <c r="H11" i="7"/>
  <c r="I12" i="7" s="1"/>
  <c r="D12" i="7"/>
  <c r="S6" i="5"/>
  <c r="T6" i="5"/>
  <c r="C14" i="7"/>
  <c r="B24" i="2"/>
  <c r="K13" i="7"/>
  <c r="L13" i="7" s="1"/>
  <c r="N13" i="7" s="1"/>
  <c r="N6" i="5"/>
  <c r="H6" i="4"/>
  <c r="I6" i="4"/>
  <c r="J6" i="4"/>
  <c r="O7" i="6"/>
  <c r="P7" i="6" s="1"/>
  <c r="D8" i="6"/>
  <c r="E8" i="6" s="1"/>
  <c r="G8" i="6" s="1"/>
  <c r="J7" i="6"/>
  <c r="L7" i="6" s="1"/>
  <c r="M7" i="6" s="1"/>
  <c r="R7" i="6"/>
  <c r="Q8" i="6"/>
  <c r="K7" i="6"/>
  <c r="H12" i="7" l="1"/>
  <c r="I13" i="7" s="1"/>
  <c r="D13" i="7" s="1"/>
  <c r="F12" i="7"/>
  <c r="J12" i="7"/>
  <c r="D23" i="2" s="1"/>
  <c r="K6" i="4"/>
  <c r="L6" i="4"/>
  <c r="F7" i="5"/>
  <c r="O6" i="5"/>
  <c r="P6" i="5" s="1"/>
  <c r="H8" i="6"/>
  <c r="I8" i="6"/>
  <c r="C15" i="7"/>
  <c r="B25" i="2"/>
  <c r="K14" i="7"/>
  <c r="L14" i="7" s="1"/>
  <c r="N14" i="7" s="1"/>
  <c r="S7" i="6"/>
  <c r="H13" i="7" l="1"/>
  <c r="I14" i="7" s="1"/>
  <c r="D14" i="7"/>
  <c r="J13" i="7"/>
  <c r="D24" i="2" s="1"/>
  <c r="F13" i="7"/>
  <c r="C16" i="7"/>
  <c r="K15" i="7"/>
  <c r="L15" i="7" s="1"/>
  <c r="N15" i="7" s="1"/>
  <c r="B26" i="2"/>
  <c r="K8" i="6"/>
  <c r="O8" i="6"/>
  <c r="P8" i="6" s="1"/>
  <c r="R8" i="6"/>
  <c r="D9" i="6"/>
  <c r="E9" i="6" s="1"/>
  <c r="G9" i="6" s="1"/>
  <c r="J8" i="6"/>
  <c r="L8" i="6" s="1"/>
  <c r="M8" i="6" s="1"/>
  <c r="Q9" i="6"/>
  <c r="G7" i="5"/>
  <c r="H7" i="5" s="1"/>
  <c r="M6" i="4"/>
  <c r="B27" i="2" l="1"/>
  <c r="K16" i="7"/>
  <c r="L16" i="7" s="1"/>
  <c r="N16" i="7" s="1"/>
  <c r="J14" i="7"/>
  <c r="D25" i="2" s="1"/>
  <c r="H14" i="7"/>
  <c r="I15" i="7" s="1"/>
  <c r="D15" i="7"/>
  <c r="F14" i="7"/>
  <c r="Q7" i="5"/>
  <c r="K7" i="5"/>
  <c r="J7" i="5"/>
  <c r="L7" i="5"/>
  <c r="I7" i="5"/>
  <c r="M7" i="5"/>
  <c r="S8" i="6"/>
  <c r="H9" i="6"/>
  <c r="I9" i="6"/>
  <c r="K9" i="6" s="1"/>
  <c r="N6" i="4"/>
  <c r="F7" i="4"/>
  <c r="S7" i="5" l="1"/>
  <c r="T7" i="5"/>
  <c r="F15" i="7"/>
  <c r="J15" i="7"/>
  <c r="D26" i="2" s="1"/>
  <c r="H15" i="7"/>
  <c r="I16" i="7" s="1"/>
  <c r="D16" i="7" s="1"/>
  <c r="O9" i="6"/>
  <c r="P9" i="6" s="1"/>
  <c r="D10" i="6"/>
  <c r="E10" i="6" s="1"/>
  <c r="G10" i="6" s="1"/>
  <c r="Q10" i="6"/>
  <c r="J9" i="6"/>
  <c r="L9" i="6" s="1"/>
  <c r="M9" i="6" s="1"/>
  <c r="R9" i="6"/>
  <c r="G7" i="4"/>
  <c r="N7" i="5"/>
  <c r="J16" i="7" l="1"/>
  <c r="F16" i="7"/>
  <c r="H16" i="7"/>
  <c r="I10" i="6"/>
  <c r="K10" i="6" s="1"/>
  <c r="H10" i="6"/>
  <c r="J7" i="4"/>
  <c r="I7" i="4"/>
  <c r="H7" i="4"/>
  <c r="S9" i="6"/>
  <c r="O7" i="5"/>
  <c r="P7" i="5" s="1"/>
  <c r="F8" i="5"/>
  <c r="L7" i="4" l="1"/>
  <c r="K7" i="4"/>
  <c r="M7" i="4" s="1"/>
  <c r="G8" i="5"/>
  <c r="H8" i="5" s="1"/>
  <c r="O10" i="6"/>
  <c r="P10" i="6" s="1"/>
  <c r="S10" i="6" s="1"/>
  <c r="D11" i="6"/>
  <c r="E11" i="6" s="1"/>
  <c r="G11" i="6" s="1"/>
  <c r="Q11" i="6"/>
  <c r="J10" i="6"/>
  <c r="L10" i="6" s="1"/>
  <c r="M10" i="6" s="1"/>
  <c r="R10" i="6"/>
  <c r="D27" i="2"/>
  <c r="B16" i="1"/>
  <c r="B17" i="1" s="1"/>
  <c r="B25" i="1" l="1"/>
  <c r="B9" i="2"/>
  <c r="H11" i="6"/>
  <c r="I11" i="6"/>
  <c r="K11" i="6" s="1"/>
  <c r="Q8" i="5"/>
  <c r="K8" i="5"/>
  <c r="J8" i="5"/>
  <c r="M8" i="5"/>
  <c r="I8" i="5"/>
  <c r="L8" i="5"/>
  <c r="F8" i="4"/>
  <c r="N7" i="4"/>
  <c r="S8" i="5" l="1"/>
  <c r="T8" i="5"/>
  <c r="G8" i="4"/>
  <c r="O11" i="6"/>
  <c r="P11" i="6" s="1"/>
  <c r="S11" i="6" s="1"/>
  <c r="Q12" i="6"/>
  <c r="D12" i="6"/>
  <c r="E12" i="6" s="1"/>
  <c r="G12" i="6" s="1"/>
  <c r="R11" i="6"/>
  <c r="J11" i="6"/>
  <c r="L11" i="6" s="1"/>
  <c r="M11" i="6" s="1"/>
  <c r="N8" i="5"/>
  <c r="F9" i="5" l="1"/>
  <c r="O8" i="5"/>
  <c r="P8" i="5" s="1"/>
  <c r="H12" i="6"/>
  <c r="I12" i="6"/>
  <c r="K12" i="6" s="1"/>
  <c r="I8" i="4"/>
  <c r="J8" i="4"/>
  <c r="H8" i="4"/>
  <c r="O12" i="6" l="1"/>
  <c r="P12" i="6" s="1"/>
  <c r="J12" i="6"/>
  <c r="L12" i="6" s="1"/>
  <c r="M12" i="6" s="1"/>
  <c r="R12" i="6"/>
  <c r="B14" i="1" s="1"/>
  <c r="B15" i="1" s="1"/>
  <c r="L8" i="4"/>
  <c r="K8" i="4"/>
  <c r="M8" i="4" s="1"/>
  <c r="G9" i="5"/>
  <c r="H9" i="5" s="1"/>
  <c r="I9" i="5" l="1"/>
  <c r="J9" i="5"/>
  <c r="K9" i="5"/>
  <c r="M9" i="5"/>
  <c r="L9" i="5"/>
  <c r="N9" i="5" s="1"/>
  <c r="Q9" i="5"/>
  <c r="N8" i="4"/>
  <c r="F9" i="4"/>
  <c r="E19" i="1"/>
  <c r="B8" i="2"/>
  <c r="B24" i="1"/>
  <c r="S12" i="6"/>
  <c r="B13" i="9"/>
  <c r="G9" i="4" l="1"/>
  <c r="E13" i="9"/>
  <c r="D13" i="9"/>
  <c r="T9" i="5"/>
  <c r="S9" i="5"/>
  <c r="F10" i="5"/>
  <c r="O9" i="5"/>
  <c r="P9" i="5" s="1"/>
  <c r="G10" i="5" l="1"/>
  <c r="H10" i="5" s="1"/>
  <c r="J9" i="4"/>
  <c r="I9" i="4"/>
  <c r="H9" i="4"/>
  <c r="K9" i="4" l="1"/>
  <c r="M9" i="4" s="1"/>
  <c r="L9" i="4"/>
  <c r="I10" i="5"/>
  <c r="M10" i="5"/>
  <c r="K10" i="5"/>
  <c r="Q10" i="5"/>
  <c r="J10" i="5"/>
  <c r="L10" i="5"/>
  <c r="N10" i="5" l="1"/>
  <c r="S10" i="5"/>
  <c r="T10" i="5"/>
  <c r="N9" i="4"/>
  <c r="F10" i="4"/>
  <c r="G10" i="4" l="1"/>
  <c r="O10" i="5"/>
  <c r="P10" i="5" s="1"/>
  <c r="F11" i="5"/>
  <c r="G11" i="5" l="1"/>
  <c r="H11" i="5" s="1"/>
  <c r="I10" i="4"/>
  <c r="J10" i="4"/>
  <c r="H10" i="4"/>
  <c r="K10" i="4" l="1"/>
  <c r="L10" i="4"/>
  <c r="L11" i="5"/>
  <c r="J11" i="5"/>
  <c r="M11" i="5"/>
  <c r="Q11" i="5"/>
  <c r="I11" i="5"/>
  <c r="K11" i="5"/>
  <c r="T11" i="5" l="1"/>
  <c r="S11" i="5"/>
  <c r="N11" i="5"/>
  <c r="M10" i="4"/>
  <c r="F11" i="4" l="1"/>
  <c r="N10" i="4"/>
  <c r="O11" i="5"/>
  <c r="P11" i="5" s="1"/>
  <c r="F12" i="5"/>
  <c r="G12" i="5" l="1"/>
  <c r="H12" i="5" s="1"/>
  <c r="G11" i="4"/>
  <c r="I11" i="4" l="1"/>
  <c r="H11" i="4"/>
  <c r="J11" i="4"/>
  <c r="M12" i="5"/>
  <c r="L12" i="5"/>
  <c r="K12" i="5"/>
  <c r="J12" i="5"/>
  <c r="Q12" i="5"/>
  <c r="I12" i="5"/>
  <c r="S12" i="5" l="1"/>
  <c r="T12" i="5"/>
  <c r="N12" i="5"/>
  <c r="L11" i="4"/>
  <c r="K11" i="4"/>
  <c r="M11" i="4" s="1"/>
  <c r="F12" i="4" l="1"/>
  <c r="N11" i="4"/>
  <c r="O12" i="5"/>
  <c r="P12" i="5" s="1"/>
  <c r="F13" i="5"/>
  <c r="G13" i="5" l="1"/>
  <c r="H13" i="5" s="1"/>
  <c r="G12" i="4"/>
  <c r="M13" i="5" l="1"/>
  <c r="K13" i="5"/>
  <c r="J13" i="5"/>
  <c r="I13" i="5"/>
  <c r="L13" i="5"/>
  <c r="N13" i="5" s="1"/>
  <c r="Q13" i="5"/>
  <c r="J12" i="4"/>
  <c r="I12" i="4"/>
  <c r="H12" i="4"/>
  <c r="T13" i="5" l="1"/>
  <c r="S13" i="5"/>
  <c r="F14" i="5"/>
  <c r="O13" i="5"/>
  <c r="P13" i="5" s="1"/>
  <c r="L12" i="4"/>
  <c r="K12" i="4"/>
  <c r="M12" i="4" s="1"/>
  <c r="F13" i="4" l="1"/>
  <c r="N12" i="4"/>
  <c r="G14" i="5"/>
  <c r="H14" i="5" s="1"/>
  <c r="J14" i="5" l="1"/>
  <c r="M14" i="5"/>
  <c r="L14" i="5"/>
  <c r="K14" i="5"/>
  <c r="Q14" i="5"/>
  <c r="I14" i="5"/>
  <c r="G13" i="4"/>
  <c r="I13" i="4" l="1"/>
  <c r="H13" i="4"/>
  <c r="J13" i="4"/>
  <c r="T14" i="5"/>
  <c r="S14" i="5"/>
  <c r="N14" i="5"/>
  <c r="K13" i="4" l="1"/>
  <c r="L13" i="4"/>
  <c r="O14" i="5"/>
  <c r="P14" i="5" s="1"/>
  <c r="F15" i="5"/>
  <c r="G15" i="5" l="1"/>
  <c r="H15" i="5" s="1"/>
  <c r="M13" i="4"/>
  <c r="F14" i="4" l="1"/>
  <c r="N13" i="4"/>
  <c r="L15" i="5"/>
  <c r="J15" i="5"/>
  <c r="Q15" i="5"/>
  <c r="K15" i="5"/>
  <c r="I15" i="5"/>
  <c r="M15" i="5"/>
  <c r="T15" i="5" l="1"/>
  <c r="S15" i="5"/>
  <c r="N15" i="5"/>
  <c r="G14" i="4"/>
  <c r="J14" i="4" l="1"/>
  <c r="H14" i="4"/>
  <c r="I14" i="4"/>
  <c r="F16" i="5"/>
  <c r="O15" i="5"/>
  <c r="P15" i="5" s="1"/>
  <c r="G16" i="5" l="1"/>
  <c r="H16" i="5" s="1"/>
  <c r="K14" i="4"/>
  <c r="L14" i="4"/>
  <c r="M16" i="5" l="1"/>
  <c r="K16" i="5"/>
  <c r="J16" i="5"/>
  <c r="L16" i="5"/>
  <c r="N16" i="5" s="1"/>
  <c r="O16" i="5" s="1"/>
  <c r="I16" i="5"/>
  <c r="Q16" i="5"/>
  <c r="M14" i="4"/>
  <c r="T16" i="5" l="1"/>
  <c r="S16" i="5"/>
  <c r="P16" i="5"/>
  <c r="B10" i="1"/>
  <c r="B11" i="1" s="1"/>
  <c r="N14" i="4"/>
  <c r="F15" i="4"/>
  <c r="G15" i="4" l="1"/>
  <c r="B7" i="2"/>
  <c r="B23" i="1"/>
  <c r="D19" i="1"/>
  <c r="B12" i="1"/>
  <c r="B11" i="9"/>
  <c r="D11" i="9" l="1"/>
  <c r="E11" i="9"/>
  <c r="J15" i="4"/>
  <c r="I15" i="4"/>
  <c r="H15" i="4"/>
  <c r="C7" i="2"/>
  <c r="C23" i="1"/>
  <c r="L15" i="4" l="1"/>
  <c r="K15" i="4"/>
  <c r="M15" i="4" s="1"/>
  <c r="F16" i="4" l="1"/>
  <c r="N15" i="4"/>
  <c r="G16" i="4" l="1"/>
  <c r="J16" i="4" l="1"/>
  <c r="I16" i="4"/>
  <c r="H16" i="4"/>
  <c r="K16" i="4" l="1"/>
  <c r="M16" i="4" s="1"/>
  <c r="L16" i="4"/>
  <c r="N16" i="4" l="1"/>
  <c r="B6" i="1"/>
  <c r="B7" i="1" s="1"/>
  <c r="B22" i="1" l="1"/>
  <c r="B6" i="2"/>
  <c r="C19" i="1"/>
</calcChain>
</file>

<file path=xl/sharedStrings.xml><?xml version="1.0" encoding="utf-8"?>
<sst xmlns="http://schemas.openxmlformats.org/spreadsheetml/2006/main" count="285" uniqueCount="213">
  <si>
    <t>TON 滚仓收益与强平风险摘要</t>
  </si>
  <si>
    <t>默认案例：1.5 -&gt; 40，滚仓 12 段，目标杠杆 2.5x。请先在“参数”页替换为真实交易所参数。</t>
  </si>
  <si>
    <t>核心结果</t>
  </si>
  <si>
    <t>风险解释</t>
  </si>
  <si>
    <t>现货最终倍数</t>
  </si>
  <si>
    <t>x</t>
  </si>
  <si>
    <t>不加杠杆，仅价格上涨</t>
  </si>
  <si>
    <t>U本位最终权益</t>
  </si>
  <si>
    <t>USDT</t>
  </si>
  <si>
    <t>来自 U本位滚仓最后一段</t>
  </si>
  <si>
    <t>U本位最终倍数</t>
  </si>
  <si>
    <t>最终权益 / 初始本金</t>
  </si>
  <si>
    <t>U本位估算强平次数</t>
  </si>
  <si>
    <t>次</t>
  </si>
  <si>
    <t>段内插针低点低于估算强平价</t>
  </si>
  <si>
    <t>U本位最大安全杠杆</t>
  </si>
  <si>
    <t>可承受参数页最大回撤的理论上限</t>
  </si>
  <si>
    <t>币本位最终权益</t>
  </si>
  <si>
    <t>来自币本位滚仓最后一段</t>
  </si>
  <si>
    <t>币本位最终倍数</t>
  </si>
  <si>
    <t>币本位估算强平次数</t>
  </si>
  <si>
    <t>币本位最大安全杠杆</t>
  </si>
  <si>
    <t>币本位逆向合约的理论上限</t>
  </si>
  <si>
    <t>风险预算滚仓目标权益</t>
  </si>
  <si>
    <t>来自风险预算滚仓最后一笔加仓后的目标价权益</t>
  </si>
  <si>
    <t>风险预算滚仓最终倍数</t>
  </si>
  <si>
    <t>目标价权益 / 初始本金</t>
  </si>
  <si>
    <t>目标币仓降杠杆最终资产</t>
  </si>
  <si>
    <t>对应新增模式最后一行资产总额</t>
  </si>
  <si>
    <t>目标币仓降杠杆最终倍数</t>
  </si>
  <si>
    <t>最终资产 / 初始本金</t>
  </si>
  <si>
    <t>图表数据</t>
  </si>
  <si>
    <t>现货</t>
  </si>
  <si>
    <t>U本位</t>
  </si>
  <si>
    <t>币本位</t>
  </si>
  <si>
    <t>风险预算</t>
  </si>
  <si>
    <t>最终倍数</t>
  </si>
  <si>
    <t>强平/风险次数</t>
  </si>
  <si>
    <t>说明</t>
  </si>
  <si>
    <t>不使用杠杆</t>
  </si>
  <si>
    <t>固定目标杠杆复投</t>
  </si>
  <si>
    <t>币本位固定目标杠杆</t>
  </si>
  <si>
    <t>分笔加仓，控制单笔风险</t>
  </si>
  <si>
    <t>目标币仓降杠杆</t>
  </si>
  <si>
    <t>盈利后降杠杆，维持目标币仓</t>
  </si>
  <si>
    <t>滚仓模式图表</t>
  </si>
  <si>
    <t>图表引用摘要页和各模式页公式。修改参数后，Excel 打开并重算即可更新。</t>
  </si>
  <si>
    <t>模式</t>
  </si>
  <si>
    <t>风险次数</t>
  </si>
  <si>
    <t>Step</t>
  </si>
  <si>
    <t>TON单价</t>
  </si>
  <si>
    <t>使用杠杆</t>
  </si>
  <si>
    <t>资产总额U</t>
  </si>
  <si>
    <t>TON / TONX 滚仓试算参数</t>
  </si>
  <si>
    <t>黄色单元格为可改输入。模型用于杠杆滚仓的路径和风险试算，不构成投资建议。</t>
  </si>
  <si>
    <t>核心价格与仓位参数</t>
  </si>
  <si>
    <t>初始本金</t>
  </si>
  <si>
    <t>用于两套模型的起始权益</t>
  </si>
  <si>
    <t>初始币价</t>
  </si>
  <si>
    <t>USDT/TON</t>
  </si>
  <si>
    <t>第一段滚仓的起点价格</t>
  </si>
  <si>
    <t>目标币价</t>
  </si>
  <si>
    <t>模型终点价格</t>
  </si>
  <si>
    <t>滚仓段数</t>
  </si>
  <si>
    <t>段</t>
  </si>
  <si>
    <t>价格路径按几何等比切分</t>
  </si>
  <si>
    <t>目标杠杆</t>
  </si>
  <si>
    <t>每段开仓后把权益重新调到该杠杆</t>
  </si>
  <si>
    <t>最大容忍回撤</t>
  </si>
  <si>
    <t>%</t>
  </si>
  <si>
    <t>希望从开仓价向下最多承受的回撤</t>
  </si>
  <si>
    <t>维持保证金率</t>
  </si>
  <si>
    <t>交易所档位参数，需按实际合约替换</t>
  </si>
  <si>
    <t>强平/保险缓冲</t>
  </si>
  <si>
    <t>用于模拟强平费、保险基金和规则差异</t>
  </si>
  <si>
    <t>单边交易费率</t>
  </si>
  <si>
    <t>每次开仓和每次平仓各收一次</t>
  </si>
  <si>
    <t>单边滑点</t>
  </si>
  <si>
    <t>开多买贵、平多卖便宜的执行价折损</t>
  </si>
  <si>
    <t>每期资金费率</t>
  </si>
  <si>
    <t>正数代表多头支付，负数代表多头收取</t>
  </si>
  <si>
    <t>每段资金费次数</t>
  </si>
  <si>
    <t>例如每 8 小时一次，持仓 24 小时为 3 次</t>
  </si>
  <si>
    <t>段内插针回撤</t>
  </si>
  <si>
    <t>每段内从开仓价向下的压力测试低点</t>
  </si>
  <si>
    <t>币本位合约面值</t>
  </si>
  <si>
    <t>USD/张</t>
  </si>
  <si>
    <t>币本位逆向合约的简化面值</t>
  </si>
  <si>
    <t>默认滚仓最大行数</t>
  </si>
  <si>
    <t>表格预留段数</t>
  </si>
  <si>
    <t>当前价格路径</t>
  </si>
  <si>
    <t>几何等比</t>
  </si>
  <si>
    <t>EndPrice = 初始价 * (目标价/初始价)^(Step/滚仓段数)</t>
  </si>
  <si>
    <t>由最大回撤、维持保证金和强平缓冲反推</t>
  </si>
  <si>
    <t>币本位逆向合约因保证金币价同步下跌，安全杠杆更低</t>
  </si>
  <si>
    <t>目标币价 / 初始币价</t>
  </si>
  <si>
    <t>目标杠杆是否超限</t>
  </si>
  <si>
    <t>会同时检查 U 本位和币本位</t>
  </si>
  <si>
    <t>风险预算-单次保证金比例</t>
  </si>
  <si>
    <t>图中示例类似：总资金只拿 10% 做单次保证金</t>
  </si>
  <si>
    <t>风险预算-单笔合约杠杆</t>
  </si>
  <si>
    <t>图中示例类似：单笔使用 10 倍杠杆</t>
  </si>
  <si>
    <t>风险预算-单笔止损幅度</t>
  </si>
  <si>
    <t>图中示例类似：2% 止损</t>
  </si>
  <si>
    <t>风险预算-加仓触发涨幅</t>
  </si>
  <si>
    <t>价格每上涨该幅度，模型新增一笔趋势仓</t>
  </si>
  <si>
    <t>风险预算-最大加仓次数</t>
  </si>
  <si>
    <t>风险预算滚仓页预留 12 次，默认只启用前 8 次</t>
  </si>
  <si>
    <t>颜色约定</t>
  </si>
  <si>
    <t>蓝色字体 + 黄色底</t>
  </si>
  <si>
    <t>用户输入</t>
  </si>
  <si>
    <t>可按交易所实际费率、维持保证金、资金费率修改</t>
  </si>
  <si>
    <t>黑色字体</t>
  </si>
  <si>
    <t>公式</t>
  </si>
  <si>
    <t>模型计算项</t>
  </si>
  <si>
    <t>绿色状态</t>
  </si>
  <si>
    <t>OK</t>
  </si>
  <si>
    <t>没有触发对应检查</t>
  </si>
  <si>
    <t>红色/黄色状态</t>
  </si>
  <si>
    <t>风险提示</t>
  </si>
  <si>
    <t>杠杆、插针或强平缓冲需要复核</t>
  </si>
  <si>
    <t>U本位滚仓明细</t>
  </si>
  <si>
    <t>线性 USDT 保证金模型：盈亏以 USDT 结算。强平价使用简化公式，实际以交易所标记价格和档位为准。</t>
  </si>
  <si>
    <t>起始价</t>
  </si>
  <si>
    <t>目标/结束价</t>
  </si>
  <si>
    <t>开仓执行价</t>
  </si>
  <si>
    <t>平仓执行价</t>
  </si>
  <si>
    <t>期初权益</t>
  </si>
  <si>
    <t>名义仓位</t>
  </si>
  <si>
    <t>持币数量</t>
  </si>
  <si>
    <t>开仓费</t>
  </si>
  <si>
    <t>资金费</t>
  </si>
  <si>
    <t>毛盈亏</t>
  </si>
  <si>
    <t>平仓费</t>
  </si>
  <si>
    <t>期末权益</t>
  </si>
  <si>
    <t>滚仓倍数</t>
  </si>
  <si>
    <t>估算强平价</t>
  </si>
  <si>
    <t>段内插针低点</t>
  </si>
  <si>
    <t>强平缓冲</t>
  </si>
  <si>
    <t>状态</t>
  </si>
  <si>
    <t>币本位滚仓明细</t>
  </si>
  <si>
    <t>币本位逆向合约模型：保证金和盈亏以 TON 计，最终再按价格折算 USDT。下跌时保证金币价同步缩水，因此同等杠杆的强平距离通常比 U 本位更近。</t>
  </si>
  <si>
    <t>期初权益 TON</t>
  </si>
  <si>
    <t>期初权益 USDT</t>
  </si>
  <si>
    <t>名义仓位 USD</t>
  </si>
  <si>
    <t>合约张数</t>
  </si>
  <si>
    <t>开仓费 TON</t>
  </si>
  <si>
    <t>资金费 TON</t>
  </si>
  <si>
    <t>毛盈亏 TON</t>
  </si>
  <si>
    <t>平仓费 TON</t>
  </si>
  <si>
    <t>期末权益 TON</t>
  </si>
  <si>
    <t>期末权益 USDT</t>
  </si>
  <si>
    <t>风险预算式滚仓</t>
  </si>
  <si>
    <t>对应你图里的口径：趋势中只拿总权益的一部分作为单次保证金，单笔止损控制总资金风险；上涨后再加趋势仓，并观察旧仓浮盈能否覆盖新仓风险。</t>
  </si>
  <si>
    <t>加仓次序</t>
  </si>
  <si>
    <t>触发/开仓价</t>
  </si>
  <si>
    <t>单次保证金</t>
  </si>
  <si>
    <t>单笔杠杆</t>
  </si>
  <si>
    <t>新增名义仓位</t>
  </si>
  <si>
    <t>新增持币数</t>
  </si>
  <si>
    <t>累计持币数</t>
  </si>
  <si>
    <t>累计开仓费</t>
  </si>
  <si>
    <t>组合名义仓位</t>
  </si>
  <si>
    <t>组合杠杆</t>
  </si>
  <si>
    <t>新仓止损价</t>
  </si>
  <si>
    <t>新仓风险额</t>
  </si>
  <si>
    <t>新仓风险/权益</t>
  </si>
  <si>
    <t>旧仓浮盈</t>
  </si>
  <si>
    <t>目标价权益</t>
  </si>
  <si>
    <t>定义说明</t>
  </si>
  <si>
    <t>这个页的“滚仓”不是每次把全部权益打满目标杠杆，而是把总权益拆成多笔风险预算。每次只投入一小部分保证金，单笔亏损用止损幅度控制。</t>
  </si>
  <si>
    <t>目标币仓降杠杆模式</t>
  </si>
  <si>
    <t>对应截图里的思路：价格上涨后，利润折算成币本位本金；本金变大后，逐步降低杠杆，目标是维持一个较大的币数量仓位，而不是一直保持固定高杠杆。黄色列可手动改。</t>
  </si>
  <si>
    <t>本段涨幅</t>
  </si>
  <si>
    <t>币本位本金</t>
  </si>
  <si>
    <t>手动杠杆</t>
  </si>
  <si>
    <t>自动目标杠杆</t>
  </si>
  <si>
    <t>维持仓位(TON)</t>
  </si>
  <si>
    <t>本段币本位收益</t>
  </si>
  <si>
    <t>到强平回撤</t>
  </si>
  <si>
    <t>安全杠杆上限</t>
  </si>
  <si>
    <t>使用说明</t>
  </si>
  <si>
    <t>黄色列“本段涨幅”和“手动杠杆”可以直接改，模拟截图里那种 4%、5%、7%、10%、20% 上涨后逐步降杠杆的路径。</t>
  </si>
  <si>
    <t>币本位本金 = 上一段币本位本金 + 上一段维持仓位带来的币本位收益；费用和资金费会从币本位收益里扣掉。</t>
  </si>
  <si>
    <t>自动目标杠杆默认按“初始币本金 * 参数页风险预算单笔杠杆”作为目标币仓；如果你想设固定目标仓位，可以直接改 F 列公式。</t>
  </si>
  <si>
    <t>这个模式和固定目标杠杆滚仓的区别是：它越涨越降杠杆，目标是维持大币数仓位并降低后期爆仓风险。</t>
  </si>
  <si>
    <t>敏感性分析</t>
  </si>
  <si>
    <t>不同滚仓段数和目标杠杆下的最终本金倍数。已纳入手续费、滑点和资金费；强平风险需同时看检查项。</t>
  </si>
  <si>
    <t>U本位：最终本金倍数</t>
  </si>
  <si>
    <t>备注</t>
  </si>
  <si>
    <t>币本位：最终本金倍数</t>
  </si>
  <si>
    <t>每段价格倍数</t>
  </si>
  <si>
    <t>模型检查</t>
  </si>
  <si>
    <t>这些检查用于提示输入和风险状态，不代表交易所强平价的精确保证。</t>
  </si>
  <si>
    <t>检查项</t>
  </si>
  <si>
    <t>实际值</t>
  </si>
  <si>
    <t>阈值/期望</t>
  </si>
  <si>
    <t>差异</t>
  </si>
  <si>
    <t>初始价格 &gt; 0</t>
  </si>
  <si>
    <t>目标价格 &gt; 初始价格</t>
  </si>
  <si>
    <t>滚仓段数在预留范围内</t>
  </si>
  <si>
    <t>U本位杠杆不超过安全上限</t>
  </si>
  <si>
    <t>若为 WARN，35% 回撤目标下可能先爆仓</t>
  </si>
  <si>
    <t>币本位杠杆不超过安全上限</t>
  </si>
  <si>
    <t>币本位安全杠杆通常低于 U 本位</t>
  </si>
  <si>
    <t>U本位插针未触发强平</t>
  </si>
  <si>
    <t>币本位插针未触发强平</t>
  </si>
  <si>
    <t>资金费方向已确认</t>
  </si>
  <si>
    <t>如果预期多头收取资金费，把参数页资金费率改为负数</t>
  </si>
  <si>
    <t>风险预算单笔风险不超过 3%</t>
  </si>
  <si>
    <t>图中 10% 保证金、10x、2% 止损约等于总资金 2% 风险，手续费滑点会略提高</t>
  </si>
  <si>
    <t>目标币仓模式杠杆不超过安全上限</t>
  </si>
  <si>
    <t>若 WARN，说明截图式手动杠杆路径在当前最大回撤假设下偏激进。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</si>
</sst>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\x"/>
    <numFmt numFmtId="165" formatCode="\$0.0000"/>
    <numFmt numFmtId="166" formatCode="#,##0.0000"/>
    <numFmt numFmtId="167" formatCode="\$#,##0;[Red]\(\$#,##0\);\-"/>
    <numFmt numFmtId="168" formatCode="0.0%"/>
    <numFmt numFmtId="169" formatCode="0\ &quot;段&quot;"/>
    <numFmt numFmtId="170" formatCode="0.0\x"/>
    <numFmt numFmtId="171" formatCode="0.000\x"/>
    <numFmt numFmtId="172" formatCode="\$#,##0"/>
    <numFmt numFmtId="173" formatCode="0.0000"/>
  </numFmts>
  <fonts count="10">
    <font>
      <sz val="11"/>
      <name val="Carlito"/>
    </font>
    <font>
      <sz val="10"/>
      <color rgb="FF334155"/>
      <name val="Aptos"/>
    </font>
    <font>
      <b/>
      <sz val="11"/>
      <color rgb="FF12355B"/>
      <name val="Aptos"/>
    </font>
    <font>
      <sz val="10"/>
      <color rgb="FF0F172A"/>
      <name val="Aptos"/>
    </font>
    <font>
      <sz val="10"/>
      <color rgb="FF0000FF"/>
      <name val="Aptos"/>
    </font>
    <font>
      <sz val="10"/>
      <color rgb="FF000000"/>
      <name val="Aptos"/>
    </font>
    <font>
      <b/>
      <sz val="10"/>
      <color rgb="FFFFFFFF"/>
      <name val="Aptos"/>
    </font>
    <font>
      <sz val="10"/>
      <name val="Aptos"/>
    </font>
    <font>
      <b/>
      <sz val="10"/>
      <color rgb="FF12355B"/>
      <name val="Aptos"/>
    </font>
    <font>
      <b/>
      <sz val="16"/>
      <color rgb="FFFFFFFF"/>
      <name val="Aptos Display"/>
    </font>
  </fonts>
  <fills count="10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F8FAFC"/>
      </patternFill>
    </fill>
  </fills>
  <borders count="11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3" xfId="0" applyFont="1" applyBorder="1" applyAlignment="1">
      <alignment vertical="center"/>
    </xf>
    <xf numFmtId="0" fontId="4" fillId="5" borderId="3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0" xfId="0" applyFont="1"/>
    <xf numFmtId="170" fontId="5" fillId="6" borderId="3" xfId="0" applyNumberFormat="1" applyFont="1" applyFill="1" applyBorder="1" applyAlignment="1">
      <alignment horizontal="right" vertical="center"/>
    </xf>
    <xf numFmtId="172" fontId="5" fillId="6" borderId="3" xfId="0" applyNumberFormat="1" applyFont="1" applyFill="1" applyBorder="1" applyAlignment="1">
      <alignment vertical="top" wrapText="1"/>
    </xf>
    <xf numFmtId="1" fontId="5" fillId="6" borderId="3" xfId="0" applyNumberFormat="1" applyFont="1" applyFill="1" applyBorder="1" applyAlignment="1">
      <alignment vertical="top" wrapText="1"/>
    </xf>
    <xf numFmtId="164" fontId="5" fillId="6" borderId="3" xfId="0" applyNumberFormat="1" applyFont="1" applyFill="1" applyBorder="1" applyAlignment="1">
      <alignment horizontal="right" vertical="center"/>
    </xf>
    <xf numFmtId="170" fontId="3" fillId="0" borderId="3" xfId="0" applyNumberFormat="1" applyFont="1" applyBorder="1" applyAlignment="1">
      <alignment vertical="center"/>
    </xf>
    <xf numFmtId="10" fontId="4" fillId="5" borderId="3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vertical="top" wrapText="1"/>
    </xf>
    <xf numFmtId="0" fontId="5" fillId="6" borderId="3" xfId="0" applyFont="1" applyFill="1" applyBorder="1" applyAlignment="1">
      <alignment vertical="top" wrapText="1"/>
    </xf>
    <xf numFmtId="165" fontId="3" fillId="0" borderId="3" xfId="0" applyNumberFormat="1" applyFont="1" applyBorder="1" applyAlignment="1">
      <alignment vertical="top" wrapText="1"/>
    </xf>
    <xf numFmtId="165" fontId="3" fillId="0" borderId="3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167" fontId="3" fillId="0" borderId="3" xfId="0" applyNumberFormat="1" applyFont="1" applyBorder="1" applyAlignment="1">
      <alignment vertical="center"/>
    </xf>
    <xf numFmtId="167" fontId="3" fillId="0" borderId="3" xfId="0" applyNumberFormat="1" applyFont="1" applyBorder="1" applyAlignment="1">
      <alignment vertical="top" wrapText="1"/>
    </xf>
    <xf numFmtId="164" fontId="3" fillId="0" borderId="3" xfId="0" applyNumberFormat="1" applyFont="1" applyBorder="1" applyAlignment="1">
      <alignment vertical="center"/>
    </xf>
    <xf numFmtId="168" fontId="3" fillId="0" borderId="3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top" wrapText="1"/>
    </xf>
    <xf numFmtId="3" fontId="3" fillId="0" borderId="3" xfId="0" applyNumberFormat="1" applyFont="1" applyBorder="1" applyAlignment="1">
      <alignment vertical="center"/>
    </xf>
    <xf numFmtId="3" fontId="3" fillId="0" borderId="3" xfId="0" applyNumberFormat="1" applyFont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9" fontId="3" fillId="0" borderId="3" xfId="0" applyNumberFormat="1" applyFont="1" applyBorder="1" applyAlignment="1">
      <alignment vertical="center"/>
    </xf>
    <xf numFmtId="170" fontId="3" fillId="0" borderId="3" xfId="0" applyNumberFormat="1" applyFont="1" applyBorder="1" applyAlignment="1">
      <alignment vertical="top" wrapText="1"/>
    </xf>
    <xf numFmtId="171" fontId="7" fillId="0" borderId="0" xfId="0" applyNumberFormat="1" applyFont="1" applyAlignment="1">
      <alignment vertical="top" wrapText="1"/>
    </xf>
    <xf numFmtId="173" fontId="3" fillId="0" borderId="3" xfId="0" applyNumberFormat="1" applyFont="1" applyBorder="1" applyAlignment="1">
      <alignment vertical="center"/>
    </xf>
    <xf numFmtId="173" fontId="3" fillId="0" borderId="3" xfId="0" applyNumberFormat="1" applyFont="1" applyBorder="1" applyAlignment="1">
      <alignment vertical="top" wrapText="1"/>
    </xf>
    <xf numFmtId="0" fontId="5" fillId="0" borderId="3" xfId="0" applyFont="1" applyBorder="1" applyAlignment="1">
      <alignment vertical="center" wrapText="1"/>
    </xf>
    <xf numFmtId="172" fontId="5" fillId="6" borderId="3" xfId="0" applyNumberFormat="1" applyFont="1" applyFill="1" applyBorder="1" applyAlignment="1">
      <alignment vertical="center" wrapText="1"/>
    </xf>
    <xf numFmtId="170" fontId="5" fillId="6" borderId="3" xfId="0" applyNumberFormat="1" applyFont="1" applyFill="1" applyBorder="1" applyAlignment="1">
      <alignment vertical="center" wrapText="1"/>
    </xf>
    <xf numFmtId="168" fontId="4" fillId="5" borderId="3" xfId="0" applyNumberFormat="1" applyFont="1" applyFill="1" applyBorder="1" applyAlignment="1">
      <alignment vertical="center"/>
    </xf>
    <xf numFmtId="165" fontId="5" fillId="6" borderId="3" xfId="0" applyNumberFormat="1" applyFont="1" applyFill="1" applyBorder="1" applyAlignment="1">
      <alignment vertical="center"/>
    </xf>
    <xf numFmtId="166" fontId="5" fillId="6" borderId="3" xfId="0" applyNumberFormat="1" applyFont="1" applyFill="1" applyBorder="1" applyAlignment="1">
      <alignment vertical="center"/>
    </xf>
    <xf numFmtId="164" fontId="4" fillId="5" borderId="3" xfId="0" applyNumberFormat="1" applyFont="1" applyFill="1" applyBorder="1" applyAlignment="1">
      <alignment vertical="center"/>
    </xf>
    <xf numFmtId="164" fontId="5" fillId="6" borderId="3" xfId="0" applyNumberFormat="1" applyFont="1" applyFill="1" applyBorder="1" applyAlignment="1">
      <alignment vertical="center"/>
    </xf>
    <xf numFmtId="167" fontId="5" fillId="6" borderId="3" xfId="0" applyNumberFormat="1" applyFont="1" applyFill="1" applyBorder="1" applyAlignment="1">
      <alignment vertical="center"/>
    </xf>
    <xf numFmtId="168" fontId="5" fillId="6" borderId="3" xfId="0" applyNumberFormat="1" applyFont="1" applyFill="1" applyBorder="1" applyAlignment="1">
      <alignment vertical="center"/>
    </xf>
    <xf numFmtId="164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top" wrapText="1"/>
    </xf>
    <xf numFmtId="0" fontId="5" fillId="9" borderId="3" xfId="0" applyFont="1" applyFill="1" applyBorder="1" applyAlignment="1">
      <alignment horizontal="left" vertical="center" wrapText="1"/>
    </xf>
    <xf numFmtId="170" fontId="5" fillId="9" borderId="3" xfId="0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170" fontId="5" fillId="6" borderId="3" xfId="0" applyNumberFormat="1" applyFont="1" applyFill="1" applyBorder="1" applyAlignment="1">
      <alignment horizontal="center"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1" fontId="5" fillId="9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165" fontId="5" fillId="6" borderId="3" xfId="0" applyNumberFormat="1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172" fontId="5" fillId="6" borderId="3" xfId="0" applyNumberFormat="1" applyFont="1" applyFill="1" applyBorder="1" applyAlignment="1">
      <alignment horizontal="center" vertical="center" wrapText="1"/>
    </xf>
    <xf numFmtId="165" fontId="5" fillId="9" borderId="3" xfId="0" applyNumberFormat="1" applyFont="1" applyFill="1" applyBorder="1" applyAlignment="1">
      <alignment horizontal="center" vertical="center" wrapText="1"/>
    </xf>
    <xf numFmtId="164" fontId="5" fillId="9" borderId="3" xfId="0" applyNumberFormat="1" applyFont="1" applyFill="1" applyBorder="1" applyAlignment="1">
      <alignment horizontal="center" vertical="center" wrapText="1"/>
    </xf>
    <xf numFmtId="172" fontId="5" fillId="9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2" borderId="0" xfId="0" applyFont="1" applyFill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" fillId="3" borderId="0" xfId="0" applyFont="1" applyFill="1" applyAlignment="1">
      <alignment vertical="top" wrapText="1"/>
    </xf>
    <xf numFmtId="0" fontId="8" fillId="8" borderId="3" xfId="0" applyFont="1" applyFill="1" applyBorder="1" applyAlignment="1">
      <alignment horizontal="left" vertical="center"/>
    </xf>
    <xf numFmtId="0" fontId="1" fillId="4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8" fillId="7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vertical="top" wrapText="1"/>
    </xf>
    <xf numFmtId="0" fontId="1" fillId="4" borderId="0" xfId="0" applyFont="1" applyFill="1" applyAlignment="1">
      <alignment vertical="center" wrapText="1"/>
    </xf>
    <xf numFmtId="0" fontId="2" fillId="8" borderId="3" xfId="0" applyFont="1" applyFill="1" applyBorder="1"/>
  </cellXfs>
  <cellStyles count="1">
    <cellStyle name="Normal" xfId="0" builtinId="0"/>
  </cellStyles>
  <dxfs count="10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各模式最终倍数对比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图表!$B$4</c:f>
              <c:strCache>
                <c:ptCount val="1"/>
                <c:pt idx="0">
                  <c:v>最终倍数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图表!$A$5:$A$9</c:f>
              <c:strCache>
                <c:ptCount val="5"/>
                <c:pt idx="0">
                  <c:v>现货</c:v>
                </c:pt>
                <c:pt idx="1">
                  <c:v>U本位</c:v>
                </c:pt>
                <c:pt idx="2">
                  <c:v>币本位</c:v>
                </c:pt>
                <c:pt idx="3">
                  <c:v>风险预算</c:v>
                </c:pt>
                <c:pt idx="4">
                  <c:v>目标币仓降杠杆</c:v>
                </c:pt>
              </c:strCache>
            </c:strRef>
          </c:cat>
          <c:val>
            <c:numRef>
              <c:f>图表!$B$5:$B$9</c:f>
              <c:numCache>
                <c:formatCode>0.0\x</c:formatCode>
                <c:ptCount val="5"/>
                <c:pt idx="0">
                  <c:v>26.666666666666668</c:v>
                </c:pt>
                <c:pt idx="1">
                  <c:v>984.69728795439039</c:v>
                </c:pt>
                <c:pt idx="2">
                  <c:v>7001.7053402944803</c:v>
                </c:pt>
                <c:pt idx="3">
                  <c:v>339.08083075941795</c:v>
                </c:pt>
                <c:pt idx="4">
                  <c:v>4223.1957774420653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D-7047-A01D-414D411D6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模式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本金倍数</a:t>
                </a:r>
              </a:p>
            </c:rich>
          </c:tx>
          <c:overlay val="1"/>
        </c:title>
        <c:numFmt formatCode="0.0\x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zh-CN" altLang="en-US"/>
              <a:t>目标币仓降杠杆：价格与杠杆路径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图表!$B$15</c:f>
              <c:strCache>
                <c:ptCount val="1"/>
                <c:pt idx="0">
                  <c:v>TON单价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图表!$A$16:$A$27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图表!$B$16:$B$27</c:f>
              <c:numCache>
                <c:formatCode>\$0.0000</c:formatCode>
                <c:ptCount val="12"/>
                <c:pt idx="0">
                  <c:v>1.5</c:v>
                </c:pt>
                <c:pt idx="1">
                  <c:v>1.56</c:v>
                </c:pt>
                <c:pt idx="2">
                  <c:v>1.6380000000000001</c:v>
                </c:pt>
                <c:pt idx="3">
                  <c:v>1.7199000000000002</c:v>
                </c:pt>
                <c:pt idx="4">
                  <c:v>1.8402930000000004</c:v>
                </c:pt>
                <c:pt idx="5">
                  <c:v>2.0243223000000006</c:v>
                </c:pt>
                <c:pt idx="6">
                  <c:v>2.4291867600000008</c:v>
                </c:pt>
                <c:pt idx="7">
                  <c:v>3.2794021260000012</c:v>
                </c:pt>
                <c:pt idx="8">
                  <c:v>4.9191031890000021</c:v>
                </c:pt>
                <c:pt idx="9">
                  <c:v>9.8382063780000042</c:v>
                </c:pt>
                <c:pt idx="10">
                  <c:v>29.514619134000014</c:v>
                </c:pt>
                <c:pt idx="11">
                  <c:v>177.08771480400009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A3-EE48-9005-1B744F5059E2}"/>
            </c:ext>
          </c:extLst>
        </c:ser>
        <c:ser>
          <c:idx val="1"/>
          <c:order val="1"/>
          <c:tx>
            <c:strRef>
              <c:f>图表!$C$15</c:f>
              <c:strCache>
                <c:ptCount val="1"/>
                <c:pt idx="0">
                  <c:v>使用杠杆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图表!$A$16:$A$27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图表!$C$16:$C$27</c:f>
              <c:numCache>
                <c:formatCode>0.00\x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0.5</c:v>
                </c:pt>
                <c:pt idx="10">
                  <c:v>0.25</c:v>
                </c:pt>
                <c:pt idx="11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A3-EE48-9005-1B744F505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价格 </a:t>
                </a:r>
                <a:r>
                  <a:rPr lang="en-US" altLang="zh-CN"/>
                  <a:t>/ </a:t>
                </a:r>
                <a:r>
                  <a:rPr lang="zh-CN" altLang="en-US"/>
                  <a:t>杠杆</a:t>
                </a:r>
              </a:p>
            </c:rich>
          </c:tx>
          <c:overlay val="1"/>
        </c:title>
        <c:numFmt formatCode="\$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18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workbookViewId="0">
      <pane ySplit="3" topLeftCell="A4" activePane="bottomLeft" state="frozen"/>
      <selection pane="bottomLeft" activeCell="H19" sqref="H19"/>
    </sheetView>
  </sheetViews>
  <sheetFormatPr baseColWidth="10" defaultColWidth="8.83203125" defaultRowHeight="15"/>
  <cols>
    <col min="1" max="1" width="18" customWidth="1"/>
    <col min="2" max="2" width="13" customWidth="1"/>
    <col min="3" max="3" width="9" customWidth="1"/>
    <col min="4" max="4" width="24" customWidth="1"/>
    <col min="5" max="5" width="3" customWidth="1"/>
    <col min="6" max="6" width="5" customWidth="1"/>
    <col min="7" max="7" width="15" customWidth="1"/>
    <col min="8" max="8" width="42" customWidth="1"/>
    <col min="9" max="10" width="3" customWidth="1"/>
  </cols>
  <sheetData>
    <row r="1" spans="1:20" ht="20" customHeight="1">
      <c r="A1" s="66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0" customHeight="1">
      <c r="A2" s="7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20" customHeight="1">
      <c r="A4" s="67" t="s">
        <v>2</v>
      </c>
      <c r="B4" s="68"/>
      <c r="C4" s="68"/>
      <c r="D4" s="69"/>
      <c r="E4" s="5"/>
      <c r="F4" s="71" t="s">
        <v>3</v>
      </c>
      <c r="G4" s="68"/>
      <c r="H4" s="68"/>
      <c r="I4" s="68"/>
      <c r="J4" s="69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0" customHeight="1">
      <c r="A5" s="1" t="s">
        <v>4</v>
      </c>
      <c r="B5" s="6">
        <f>参数!B23</f>
        <v>26.666666666666668</v>
      </c>
      <c r="C5" s="1" t="s">
        <v>5</v>
      </c>
      <c r="D5" s="1" t="s">
        <v>6</v>
      </c>
      <c r="E5" s="5"/>
      <c r="F5" s="57">
        <v>1</v>
      </c>
      <c r="G5" s="58"/>
      <c r="H5" s="58"/>
      <c r="I5" s="58"/>
      <c r="J5" s="59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20" customHeight="1">
      <c r="A6" s="1" t="s">
        <v>7</v>
      </c>
      <c r="B6" s="7">
        <f>LOOKUP(2,1/(U本位滚仓!A5:A28&lt;&gt;""),U本位滚仓!M5:M28)</f>
        <v>9846972.8795439042</v>
      </c>
      <c r="C6" s="1" t="s">
        <v>8</v>
      </c>
      <c r="D6" s="1" t="s">
        <v>9</v>
      </c>
      <c r="E6" s="5"/>
      <c r="F6" s="60"/>
      <c r="G6" s="61"/>
      <c r="H6" s="61"/>
      <c r="I6" s="61"/>
      <c r="J6" s="62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0" customHeight="1">
      <c r="A7" s="1" t="s">
        <v>10</v>
      </c>
      <c r="B7" s="6">
        <f>B6/参数!B5</f>
        <v>984.69728795439039</v>
      </c>
      <c r="C7" s="1" t="s">
        <v>5</v>
      </c>
      <c r="D7" s="1" t="s">
        <v>11</v>
      </c>
      <c r="E7" s="5"/>
      <c r="F7" s="60"/>
      <c r="G7" s="61"/>
      <c r="H7" s="61"/>
      <c r="I7" s="61"/>
      <c r="J7" s="62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20" customHeight="1">
      <c r="A8" s="1" t="s">
        <v>12</v>
      </c>
      <c r="B8" s="8">
        <f>COUNTIF(U本位滚仓!R5:R28,"*强平*")</f>
        <v>0</v>
      </c>
      <c r="C8" s="1" t="s">
        <v>13</v>
      </c>
      <c r="D8" s="1" t="s">
        <v>14</v>
      </c>
      <c r="E8" s="5"/>
      <c r="F8" s="60"/>
      <c r="G8" s="61"/>
      <c r="H8" s="61"/>
      <c r="I8" s="61"/>
      <c r="J8" s="62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0" customHeight="1">
      <c r="A9" s="1" t="s">
        <v>15</v>
      </c>
      <c r="B9" s="9">
        <f>参数!B21</f>
        <v>2.8153153153153156</v>
      </c>
      <c r="C9" s="1" t="s">
        <v>5</v>
      </c>
      <c r="D9" s="1" t="s">
        <v>16</v>
      </c>
      <c r="E9" s="5"/>
      <c r="F9" s="60"/>
      <c r="G9" s="61"/>
      <c r="H9" s="61"/>
      <c r="I9" s="61"/>
      <c r="J9" s="62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20" customHeight="1">
      <c r="A10" s="1" t="s">
        <v>17</v>
      </c>
      <c r="B10" s="7">
        <f>LOOKUP(2,1/(币本位滚仓!A5:A28&lt;&gt;""),币本位滚仓!O5:O28)</f>
        <v>70017053.402944803</v>
      </c>
      <c r="C10" s="1" t="s">
        <v>8</v>
      </c>
      <c r="D10" s="1" t="s">
        <v>18</v>
      </c>
      <c r="E10" s="5"/>
      <c r="F10" s="60"/>
      <c r="G10" s="61"/>
      <c r="H10" s="61"/>
      <c r="I10" s="61"/>
      <c r="J10" s="62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20" customHeight="1">
      <c r="A11" s="1" t="s">
        <v>19</v>
      </c>
      <c r="B11" s="6">
        <f>B10/参数!B5</f>
        <v>7001.7053402944803</v>
      </c>
      <c r="C11" s="1" t="s">
        <v>5</v>
      </c>
      <c r="D11" s="1" t="s">
        <v>11</v>
      </c>
      <c r="E11" s="5"/>
      <c r="F11" s="63"/>
      <c r="G11" s="64"/>
      <c r="H11" s="64"/>
      <c r="I11" s="64"/>
      <c r="J11" s="6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20" customHeight="1">
      <c r="A12" s="1" t="s">
        <v>20</v>
      </c>
      <c r="B12" s="8">
        <f>COUNTIF(币本位滚仓!T5:T28,"*强平*")</f>
        <v>0</v>
      </c>
      <c r="C12" s="1" t="s">
        <v>13</v>
      </c>
      <c r="D12" s="1" t="s">
        <v>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20" customHeight="1">
      <c r="A13" s="1" t="s">
        <v>21</v>
      </c>
      <c r="B13" s="9">
        <f>参数!B22</f>
        <v>1.8156424581005588</v>
      </c>
      <c r="C13" s="1" t="s">
        <v>5</v>
      </c>
      <c r="D13" s="1" t="s">
        <v>22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20" customHeight="1">
      <c r="A14" s="1" t="s">
        <v>23</v>
      </c>
      <c r="B14" s="7">
        <f>INDEX(风险预算滚仓!R5:R16,MIN(参数!$B$29,ROWS(风险预算滚仓!R5:R16)))</f>
        <v>3390808.3075941796</v>
      </c>
      <c r="C14" s="1" t="s">
        <v>8</v>
      </c>
      <c r="D14" s="1" t="s">
        <v>24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20" customHeight="1">
      <c r="A15" s="1" t="s">
        <v>25</v>
      </c>
      <c r="B15" s="6">
        <f>B14/参数!$B$5</f>
        <v>339.08083075941795</v>
      </c>
      <c r="C15" s="1" t="s">
        <v>5</v>
      </c>
      <c r="D15" s="1" t="s">
        <v>26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0" customHeight="1">
      <c r="A16" s="31" t="s">
        <v>27</v>
      </c>
      <c r="B16" s="32">
        <f>目标币仓降杠杆!J16</f>
        <v>42231957.774420649</v>
      </c>
      <c r="C16" s="31" t="s">
        <v>8</v>
      </c>
      <c r="D16" s="31" t="s">
        <v>28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0" customHeight="1">
      <c r="A17" s="31" t="s">
        <v>29</v>
      </c>
      <c r="B17" s="33">
        <f>B16/参数!$B$5</f>
        <v>4223.1957774420653</v>
      </c>
      <c r="C17" s="31" t="s">
        <v>5</v>
      </c>
      <c r="D17" s="31" t="s">
        <v>30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0" customHeight="1">
      <c r="A18" s="4" t="s">
        <v>31</v>
      </c>
      <c r="B18" s="4" t="s">
        <v>32</v>
      </c>
      <c r="C18" s="4" t="s">
        <v>33</v>
      </c>
      <c r="D18" s="4" t="s">
        <v>34</v>
      </c>
      <c r="E18" s="4" t="s">
        <v>35</v>
      </c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0" customHeight="1">
      <c r="A19" s="1" t="s">
        <v>36</v>
      </c>
      <c r="B19" s="10">
        <f>B5</f>
        <v>26.666666666666668</v>
      </c>
      <c r="C19" s="10">
        <f>B7</f>
        <v>984.69728795439039</v>
      </c>
      <c r="D19" s="10">
        <f>B11</f>
        <v>7001.7053402944803</v>
      </c>
      <c r="E19" s="10">
        <f>B15</f>
        <v>339.08083075941795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20" customHeight="1">
      <c r="A20" s="4" t="s">
        <v>31</v>
      </c>
      <c r="B20" s="4" t="s">
        <v>36</v>
      </c>
      <c r="C20" s="4" t="s">
        <v>37</v>
      </c>
      <c r="D20" s="4" t="s">
        <v>38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20" customHeight="1">
      <c r="A21" s="43" t="s">
        <v>32</v>
      </c>
      <c r="B21" s="44">
        <f>B5</f>
        <v>26.666666666666668</v>
      </c>
      <c r="C21" s="45">
        <v>0</v>
      </c>
      <c r="D21" s="43" t="s">
        <v>39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20" customHeight="1">
      <c r="A22" s="46" t="s">
        <v>33</v>
      </c>
      <c r="B22" s="47">
        <f>B7</f>
        <v>984.69728795439039</v>
      </c>
      <c r="C22" s="48">
        <f>B8</f>
        <v>0</v>
      </c>
      <c r="D22" s="46" t="s">
        <v>40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20" customHeight="1">
      <c r="A23" s="43" t="s">
        <v>34</v>
      </c>
      <c r="B23" s="44">
        <f>B11</f>
        <v>7001.7053402944803</v>
      </c>
      <c r="C23" s="49">
        <f>B12</f>
        <v>0</v>
      </c>
      <c r="D23" s="43" t="s">
        <v>41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20" customHeight="1">
      <c r="A24" s="46" t="s">
        <v>35</v>
      </c>
      <c r="B24" s="47">
        <f>B15</f>
        <v>339.08083075941795</v>
      </c>
      <c r="C24" s="48">
        <v>0</v>
      </c>
      <c r="D24" s="46" t="s">
        <v>42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20" customHeight="1">
      <c r="A25" s="43" t="s">
        <v>43</v>
      </c>
      <c r="B25" s="44">
        <f>B17</f>
        <v>4223.1957774420653</v>
      </c>
      <c r="C25" s="49">
        <v>0</v>
      </c>
      <c r="D25" s="43" t="s">
        <v>44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20" customHeight="1">
      <c r="A26" s="50"/>
      <c r="B26" s="50"/>
      <c r="C26" s="50"/>
      <c r="D26" s="50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0" customHeight="1">
      <c r="A27" s="50"/>
      <c r="B27" s="50"/>
      <c r="C27" s="50"/>
      <c r="D27" s="5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2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2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2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2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2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mergeCells count="5">
    <mergeCell ref="F5:J11"/>
    <mergeCell ref="A1:J1"/>
    <mergeCell ref="A4:D4"/>
    <mergeCell ref="A2:J2"/>
    <mergeCell ref="F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showGridLines="0" workbookViewId="0">
      <selection activeCell="L32" sqref="L32"/>
    </sheetView>
  </sheetViews>
  <sheetFormatPr baseColWidth="10" defaultColWidth="8.83203125" defaultRowHeight="15"/>
  <cols>
    <col min="1" max="1" width="18" customWidth="1"/>
    <col min="2" max="3" width="12" customWidth="1"/>
    <col min="4" max="4" width="14" customWidth="1"/>
    <col min="5" max="12" width="12" customWidth="1"/>
  </cols>
  <sheetData>
    <row r="1" spans="1:12" ht="20">
      <c r="A1" s="73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>
      <c r="A2" s="72" t="s">
        <v>46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4" spans="1:12">
      <c r="A4" s="4" t="s">
        <v>47</v>
      </c>
      <c r="B4" s="4" t="s">
        <v>36</v>
      </c>
      <c r="C4" s="4" t="s">
        <v>48</v>
      </c>
    </row>
    <row r="5" spans="1:12">
      <c r="A5" s="43" t="s">
        <v>32</v>
      </c>
      <c r="B5" s="44">
        <f>摘要!B5</f>
        <v>26.666666666666668</v>
      </c>
      <c r="C5" s="45">
        <v>0</v>
      </c>
    </row>
    <row r="6" spans="1:12">
      <c r="A6" s="46" t="s">
        <v>33</v>
      </c>
      <c r="B6" s="47">
        <f>摘要!B7</f>
        <v>984.69728795439039</v>
      </c>
      <c r="C6" s="50">
        <f>摘要!B8</f>
        <v>0</v>
      </c>
    </row>
    <row r="7" spans="1:12">
      <c r="A7" s="43" t="s">
        <v>34</v>
      </c>
      <c r="B7" s="44">
        <f>摘要!B11</f>
        <v>7001.7053402944803</v>
      </c>
      <c r="C7" s="45">
        <f>摘要!B12</f>
        <v>0</v>
      </c>
    </row>
    <row r="8" spans="1:12">
      <c r="A8" s="46" t="s">
        <v>35</v>
      </c>
      <c r="B8" s="47">
        <f>摘要!B15</f>
        <v>339.08083075941795</v>
      </c>
      <c r="C8" s="50">
        <v>0</v>
      </c>
    </row>
    <row r="9" spans="1:12">
      <c r="A9" s="43" t="s">
        <v>43</v>
      </c>
      <c r="B9" s="44">
        <f>摘要!B17</f>
        <v>4223.1957774420653</v>
      </c>
      <c r="C9" s="45">
        <v>0</v>
      </c>
    </row>
    <row r="15" spans="1:12">
      <c r="A15" s="4" t="s">
        <v>49</v>
      </c>
      <c r="B15" s="4" t="s">
        <v>50</v>
      </c>
      <c r="C15" s="4" t="s">
        <v>51</v>
      </c>
      <c r="D15" s="4" t="s">
        <v>52</v>
      </c>
    </row>
    <row r="16" spans="1:12">
      <c r="A16" s="50">
        <f>目标币仓降杠杆!A5</f>
        <v>0</v>
      </c>
      <c r="B16" s="51">
        <f>目标币仓降杠杆!C5</f>
        <v>1.5</v>
      </c>
      <c r="C16" s="52">
        <f>目标币仓降杠杆!G5</f>
        <v>10</v>
      </c>
      <c r="D16" s="53">
        <f>目标币仓降杠杆!J5</f>
        <v>10000</v>
      </c>
    </row>
    <row r="17" spans="1:4">
      <c r="A17" s="45">
        <f>目标币仓降杠杆!A6</f>
        <v>1</v>
      </c>
      <c r="B17" s="54">
        <f>目标币仓降杠杆!C6</f>
        <v>1.56</v>
      </c>
      <c r="C17" s="55">
        <f>目标币仓降杠杆!G6</f>
        <v>8</v>
      </c>
      <c r="D17" s="56">
        <f>目标币仓降杠杆!J6</f>
        <v>14307.000000000002</v>
      </c>
    </row>
    <row r="18" spans="1:4">
      <c r="A18" s="50">
        <f>目标币仓降杠杆!A7</f>
        <v>2</v>
      </c>
      <c r="B18" s="51">
        <f>目标币仓降杠杆!C7</f>
        <v>1.6380000000000001</v>
      </c>
      <c r="C18" s="52">
        <f>目标币仓降杠杆!G7</f>
        <v>6</v>
      </c>
      <c r="D18" s="53">
        <f>目标币仓降杠杆!J7</f>
        <v>20637.847500000011</v>
      </c>
    </row>
    <row r="19" spans="1:4">
      <c r="A19" s="45">
        <f>目标币仓降杠杆!A8</f>
        <v>3</v>
      </c>
      <c r="B19" s="54">
        <f>目标币仓降杠杆!C8</f>
        <v>1.7199000000000002</v>
      </c>
      <c r="C19" s="55">
        <f>目标币仓降杠杆!G8</f>
        <v>5</v>
      </c>
      <c r="D19" s="56">
        <f>目标币仓降杠杆!J8</f>
        <v>27745.006232812517</v>
      </c>
    </row>
    <row r="20" spans="1:4">
      <c r="A20" s="50">
        <f>目标币仓降杠杆!A9</f>
        <v>4</v>
      </c>
      <c r="B20" s="51">
        <f>目标币仓降杠杆!C9</f>
        <v>1.8402930000000004</v>
      </c>
      <c r="C20" s="52">
        <f>目标币仓降杠杆!G9</f>
        <v>4</v>
      </c>
      <c r="D20" s="53">
        <f>目标币仓降杠杆!J9</f>
        <v>39265.773258410023</v>
      </c>
    </row>
    <row r="21" spans="1:4">
      <c r="A21" s="45">
        <f>目标币仓降杠杆!A10</f>
        <v>5</v>
      </c>
      <c r="B21" s="54">
        <f>目标币仓降杠杆!C10</f>
        <v>2.0243223000000006</v>
      </c>
      <c r="C21" s="55">
        <f>目标币仓降杠杆!G10</f>
        <v>3</v>
      </c>
      <c r="D21" s="56">
        <f>目标币仓降杠杆!J10</f>
        <v>58745.523371907257</v>
      </c>
    </row>
    <row r="22" spans="1:4">
      <c r="A22" s="50">
        <f>目标币仓降杠杆!A11</f>
        <v>6</v>
      </c>
      <c r="B22" s="51">
        <f>目标币仓降杠杆!C11</f>
        <v>2.4291867600000008</v>
      </c>
      <c r="C22" s="52">
        <f>目标币仓降杠杆!G11</f>
        <v>2</v>
      </c>
      <c r="D22" s="53">
        <f>目标币仓降杠杆!J11</f>
        <v>105556.89367081157</v>
      </c>
    </row>
    <row r="23" spans="1:4">
      <c r="A23" s="45">
        <f>目标币仓降杠杆!A12</f>
        <v>7</v>
      </c>
      <c r="B23" s="54">
        <f>目标币仓降杠杆!C12</f>
        <v>3.2794021260000012</v>
      </c>
      <c r="C23" s="55">
        <f>目标币仓降杠杆!G12</f>
        <v>1.5</v>
      </c>
      <c r="D23" s="56">
        <f>目标币仓降杠杆!J12</f>
        <v>216146.21224737912</v>
      </c>
    </row>
    <row r="24" spans="1:4">
      <c r="A24" s="50">
        <f>目标币仓降杠杆!A13</f>
        <v>8</v>
      </c>
      <c r="B24" s="51">
        <f>目标币仓降杠杆!C13</f>
        <v>4.9191031890000021</v>
      </c>
      <c r="C24" s="52">
        <f>目标币仓降杠杆!G13</f>
        <v>1</v>
      </c>
      <c r="D24" s="53">
        <f>目标币仓降杠杆!J13</f>
        <v>485915.59792567999</v>
      </c>
    </row>
    <row r="25" spans="1:4">
      <c r="A25" s="45">
        <f>目标币仓降杠杆!A14</f>
        <v>9</v>
      </c>
      <c r="B25" s="54">
        <f>目标币仓降杠杆!C14</f>
        <v>9.8382063780000042</v>
      </c>
      <c r="C25" s="55">
        <f>目标币仓降杠杆!G14</f>
        <v>0.5</v>
      </c>
      <c r="D25" s="56">
        <f>目标币仓降杠杆!J14</f>
        <v>1456945.0330404625</v>
      </c>
    </row>
    <row r="26" spans="1:4">
      <c r="A26" s="50">
        <f>目标币仓降杠杆!A15</f>
        <v>10</v>
      </c>
      <c r="B26" s="51">
        <f>目标币仓降杠杆!C15</f>
        <v>29.514619134000014</v>
      </c>
      <c r="C26" s="52">
        <f>目标币仓降杠杆!G15</f>
        <v>0.25</v>
      </c>
      <c r="D26" s="53">
        <f>目标币仓降杠杆!J15</f>
        <v>5826031.798122203</v>
      </c>
    </row>
    <row r="27" spans="1:4">
      <c r="A27" s="45">
        <f>目标币仓降杠杆!A16</f>
        <v>11</v>
      </c>
      <c r="B27" s="54">
        <f>目标币仓降杠杆!C16</f>
        <v>177.08771480400009</v>
      </c>
      <c r="C27" s="55">
        <f>目标币仓降杠杆!G16</f>
        <v>0.1</v>
      </c>
      <c r="D27" s="56">
        <f>目标币仓降杠杆!J16</f>
        <v>42231957.774420649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/>
  <cols>
    <col min="1" max="1" width="22" customWidth="1"/>
    <col min="2" max="2" width="12" customWidth="1"/>
    <col min="3" max="3" width="11" customWidth="1"/>
    <col min="4" max="4" width="38" customWidth="1"/>
  </cols>
  <sheetData>
    <row r="1" spans="1:20" ht="20" customHeight="1">
      <c r="A1" s="66" t="s">
        <v>53</v>
      </c>
      <c r="B1" s="61"/>
      <c r="C1" s="61"/>
      <c r="D1" s="61"/>
      <c r="E1" s="61"/>
      <c r="F1" s="61"/>
      <c r="G1" s="61"/>
      <c r="H1" s="61"/>
      <c r="I1" s="61"/>
      <c r="J1" s="61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0" customHeight="1">
      <c r="A2" s="70" t="s">
        <v>54</v>
      </c>
      <c r="B2" s="61"/>
      <c r="C2" s="61"/>
      <c r="D2" s="61"/>
      <c r="E2" s="61"/>
      <c r="F2" s="61"/>
      <c r="G2" s="61"/>
      <c r="H2" s="61"/>
      <c r="I2" s="61"/>
      <c r="J2" s="61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20" customHeight="1">
      <c r="A4" s="67" t="s">
        <v>55</v>
      </c>
      <c r="B4" s="68"/>
      <c r="C4" s="68"/>
      <c r="D4" s="6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0" customHeight="1">
      <c r="A5" s="1" t="s">
        <v>56</v>
      </c>
      <c r="B5" s="2">
        <v>10000</v>
      </c>
      <c r="C5" s="1" t="s">
        <v>8</v>
      </c>
      <c r="D5" s="1" t="s">
        <v>57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20" customHeight="1">
      <c r="A6" s="1" t="s">
        <v>58</v>
      </c>
      <c r="B6" s="2">
        <v>1.5</v>
      </c>
      <c r="C6" s="1" t="s">
        <v>59</v>
      </c>
      <c r="D6" s="1" t="s">
        <v>60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0" customHeight="1">
      <c r="A7" s="1" t="s">
        <v>61</v>
      </c>
      <c r="B7" s="2">
        <v>40</v>
      </c>
      <c r="C7" s="1" t="s">
        <v>59</v>
      </c>
      <c r="D7" s="1" t="s">
        <v>62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20" customHeight="1">
      <c r="A8" s="1" t="s">
        <v>63</v>
      </c>
      <c r="B8" s="2">
        <v>12</v>
      </c>
      <c r="C8" s="1" t="s">
        <v>64</v>
      </c>
      <c r="D8" s="1" t="s">
        <v>65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0" customHeight="1">
      <c r="A9" s="1" t="s">
        <v>66</v>
      </c>
      <c r="B9" s="2">
        <v>2.5</v>
      </c>
      <c r="C9" s="1" t="s">
        <v>5</v>
      </c>
      <c r="D9" s="1" t="s">
        <v>67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20" customHeight="1">
      <c r="A10" s="1" t="s">
        <v>68</v>
      </c>
      <c r="B10" s="11">
        <v>0.35</v>
      </c>
      <c r="C10" s="1" t="s">
        <v>69</v>
      </c>
      <c r="D10" s="1" t="s">
        <v>70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20" customHeight="1">
      <c r="A11" s="1" t="s">
        <v>71</v>
      </c>
      <c r="B11" s="11">
        <v>5.0000000000000001E-3</v>
      </c>
      <c r="C11" s="1" t="s">
        <v>69</v>
      </c>
      <c r="D11" s="1" t="s">
        <v>72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20" customHeight="1">
      <c r="A12" s="1" t="s">
        <v>73</v>
      </c>
      <c r="B12" s="11">
        <v>3.0000000000000001E-3</v>
      </c>
      <c r="C12" s="1" t="s">
        <v>69</v>
      </c>
      <c r="D12" s="1" t="s">
        <v>74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20" customHeight="1">
      <c r="A13" s="1" t="s">
        <v>75</v>
      </c>
      <c r="B13" s="11">
        <v>5.9999999999999995E-4</v>
      </c>
      <c r="C13" s="1" t="s">
        <v>69</v>
      </c>
      <c r="D13" s="1" t="s">
        <v>76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20" customHeight="1">
      <c r="A14" s="1" t="s">
        <v>77</v>
      </c>
      <c r="B14" s="11">
        <v>1E-3</v>
      </c>
      <c r="C14" s="1" t="s">
        <v>69</v>
      </c>
      <c r="D14" s="1" t="s">
        <v>78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20" customHeight="1">
      <c r="A15" s="1" t="s">
        <v>79</v>
      </c>
      <c r="B15" s="11">
        <v>1E-4</v>
      </c>
      <c r="C15" s="1" t="s">
        <v>69</v>
      </c>
      <c r="D15" s="1" t="s">
        <v>80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0" customHeight="1">
      <c r="A16" s="1" t="s">
        <v>81</v>
      </c>
      <c r="B16" s="11">
        <v>3</v>
      </c>
      <c r="C16" s="1" t="s">
        <v>13</v>
      </c>
      <c r="D16" s="1" t="s">
        <v>82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0" customHeight="1">
      <c r="A17" s="1" t="s">
        <v>83</v>
      </c>
      <c r="B17" s="2">
        <v>0.2</v>
      </c>
      <c r="C17" s="1" t="s">
        <v>69</v>
      </c>
      <c r="D17" s="1" t="s">
        <v>84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0" customHeight="1">
      <c r="A18" s="1" t="s">
        <v>85</v>
      </c>
      <c r="B18" s="2">
        <v>1</v>
      </c>
      <c r="C18" s="1" t="s">
        <v>86</v>
      </c>
      <c r="D18" s="1" t="s">
        <v>87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0" customHeight="1">
      <c r="A19" s="1" t="s">
        <v>88</v>
      </c>
      <c r="B19" s="2">
        <v>24</v>
      </c>
      <c r="C19" s="1" t="s">
        <v>64</v>
      </c>
      <c r="D19" s="1" t="s">
        <v>89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20" customHeight="1">
      <c r="A20" s="1" t="s">
        <v>90</v>
      </c>
      <c r="B20" s="1" t="s">
        <v>91</v>
      </c>
      <c r="C20" s="1"/>
      <c r="D20" s="12" t="s">
        <v>92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20" customHeight="1">
      <c r="A21" s="1" t="s">
        <v>15</v>
      </c>
      <c r="B21" s="9">
        <f>1/(1-(1-B10)*(1-B11-B12))</f>
        <v>2.8153153153153156</v>
      </c>
      <c r="C21" s="1" t="s">
        <v>5</v>
      </c>
      <c r="D21" s="1" t="s">
        <v>93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20" customHeight="1">
      <c r="A22" s="1" t="s">
        <v>21</v>
      </c>
      <c r="B22" s="9">
        <f>(1-B10)/(B10+B11+B12)</f>
        <v>1.8156424581005588</v>
      </c>
      <c r="C22" s="1" t="s">
        <v>5</v>
      </c>
      <c r="D22" s="1" t="s">
        <v>94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20" customHeight="1">
      <c r="A23" s="1" t="s">
        <v>4</v>
      </c>
      <c r="B23" s="9">
        <f>B7/B6</f>
        <v>26.666666666666668</v>
      </c>
      <c r="C23" s="1" t="s">
        <v>5</v>
      </c>
      <c r="D23" s="1" t="s">
        <v>95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20" customHeight="1">
      <c r="A24" s="1" t="s">
        <v>96</v>
      </c>
      <c r="B24" s="13" t="str">
        <f>IF(OR(B9&gt;B21,B9&gt;B22),"检查杠杆","OK")</f>
        <v>检查杠杆</v>
      </c>
      <c r="C24" s="1"/>
      <c r="D24" s="1" t="s">
        <v>97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20" customHeight="1">
      <c r="A25" s="1" t="s">
        <v>98</v>
      </c>
      <c r="B25" s="11">
        <v>0.1</v>
      </c>
      <c r="C25" s="1" t="s">
        <v>69</v>
      </c>
      <c r="D25" s="1" t="s">
        <v>99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20" customHeight="1">
      <c r="A26" s="1" t="s">
        <v>100</v>
      </c>
      <c r="B26" s="2">
        <v>10</v>
      </c>
      <c r="C26" s="1" t="s">
        <v>5</v>
      </c>
      <c r="D26" s="1" t="s">
        <v>101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0" customHeight="1">
      <c r="A27" s="1" t="s">
        <v>102</v>
      </c>
      <c r="B27" s="11">
        <v>0.02</v>
      </c>
      <c r="C27" s="1" t="s">
        <v>69</v>
      </c>
      <c r="D27" s="1" t="s">
        <v>103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20" customHeight="1">
      <c r="A28" s="1" t="s">
        <v>104</v>
      </c>
      <c r="B28" s="11">
        <v>0.1</v>
      </c>
      <c r="C28" s="1" t="s">
        <v>69</v>
      </c>
      <c r="D28" s="1" t="s">
        <v>105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20" customHeight="1">
      <c r="A29" s="1" t="s">
        <v>106</v>
      </c>
      <c r="B29" s="2">
        <v>8</v>
      </c>
      <c r="C29" s="1" t="s">
        <v>13</v>
      </c>
      <c r="D29" s="1" t="s">
        <v>107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" customHeight="1">
      <c r="A31" s="74" t="s">
        <v>108</v>
      </c>
      <c r="B31" s="68"/>
      <c r="C31" s="68"/>
      <c r="D31" s="6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" customHeight="1">
      <c r="A32" s="1" t="s">
        <v>109</v>
      </c>
      <c r="B32" s="1" t="s">
        <v>110</v>
      </c>
      <c r="C32" s="1"/>
      <c r="D32" s="1" t="s">
        <v>111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" customHeight="1">
      <c r="A33" s="1" t="s">
        <v>112</v>
      </c>
      <c r="B33" s="1" t="s">
        <v>113</v>
      </c>
      <c r="C33" s="1"/>
      <c r="D33" s="1" t="s">
        <v>114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" customHeight="1">
      <c r="A34" s="1" t="s">
        <v>115</v>
      </c>
      <c r="B34" s="1" t="s">
        <v>116</v>
      </c>
      <c r="C34" s="1"/>
      <c r="D34" s="1" t="s">
        <v>117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20" customHeight="1">
      <c r="A35" s="1" t="s">
        <v>118</v>
      </c>
      <c r="B35" s="1" t="s">
        <v>119</v>
      </c>
      <c r="C35" s="1"/>
      <c r="D35" s="1" t="s">
        <v>120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2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2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mergeCells count="4">
    <mergeCell ref="A1:J1"/>
    <mergeCell ref="A4:D4"/>
    <mergeCell ref="A31:D3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workbookViewId="0">
      <pane ySplit="4" topLeftCell="A5" activePane="bottomLeft" state="frozen"/>
      <selection pane="bottomLeft" sqref="A1:J1"/>
    </sheetView>
  </sheetViews>
  <sheetFormatPr baseColWidth="10" defaultColWidth="8.83203125" defaultRowHeight="15"/>
  <cols>
    <col min="1" max="1" width="8" customWidth="1"/>
    <col min="2" max="17" width="11" customWidth="1"/>
    <col min="18" max="18" width="10" customWidth="1"/>
    <col min="19" max="20" width="11" customWidth="1"/>
  </cols>
  <sheetData>
    <row r="1" spans="1:20" ht="20" customHeight="1">
      <c r="A1" s="66" t="s">
        <v>121</v>
      </c>
      <c r="B1" s="61"/>
      <c r="C1" s="61"/>
      <c r="D1" s="61"/>
      <c r="E1" s="61"/>
      <c r="F1" s="61"/>
      <c r="G1" s="61"/>
      <c r="H1" s="61"/>
      <c r="I1" s="61"/>
      <c r="J1" s="61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0" customHeight="1">
      <c r="A2" s="70" t="s">
        <v>122</v>
      </c>
      <c r="B2" s="61"/>
      <c r="C2" s="61"/>
      <c r="D2" s="61"/>
      <c r="E2" s="61"/>
      <c r="F2" s="61"/>
      <c r="G2" s="61"/>
      <c r="H2" s="61"/>
      <c r="I2" s="61"/>
      <c r="J2" s="61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20" customHeight="1">
      <c r="A4" s="4" t="s">
        <v>49</v>
      </c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  <c r="G4" s="4" t="s">
        <v>128</v>
      </c>
      <c r="H4" s="4" t="s">
        <v>129</v>
      </c>
      <c r="I4" s="4" t="s">
        <v>130</v>
      </c>
      <c r="J4" s="4" t="s">
        <v>131</v>
      </c>
      <c r="K4" s="4" t="s">
        <v>132</v>
      </c>
      <c r="L4" s="4" t="s">
        <v>133</v>
      </c>
      <c r="M4" s="4" t="s">
        <v>134</v>
      </c>
      <c r="N4" s="4" t="s">
        <v>135</v>
      </c>
      <c r="O4" s="4" t="s">
        <v>136</v>
      </c>
      <c r="P4" s="4" t="s">
        <v>137</v>
      </c>
      <c r="Q4" s="4" t="s">
        <v>138</v>
      </c>
      <c r="R4" s="4" t="s">
        <v>139</v>
      </c>
      <c r="S4" s="5"/>
      <c r="T4" s="5"/>
    </row>
    <row r="5" spans="1:20" ht="20" customHeight="1">
      <c r="A5" s="12">
        <f>IF(ROW()-4&lt;=参数!$B$8,ROW()-4,"")</f>
        <v>1</v>
      </c>
      <c r="B5" s="14">
        <f>IF($A5="","",IF($A5=1,参数!$B$6,C4))</f>
        <v>1.5</v>
      </c>
      <c r="C5" s="14">
        <f>IF($A5="","",参数!$B$6*(参数!$B$7/参数!$B$6)^($A5/参数!$B$8))</f>
        <v>1.9720684573832918</v>
      </c>
      <c r="D5" s="14">
        <f>IF($A5="","",B5*(1+参数!$B$14))</f>
        <v>1.5014999999999998</v>
      </c>
      <c r="E5" s="14">
        <f>IF($A5="","",C5*(1-参数!$B$14))</f>
        <v>1.9700963889259084</v>
      </c>
      <c r="F5" s="14">
        <f>IF($A5="","",IF($A5=1,参数!$B$5,M4))</f>
        <v>10000</v>
      </c>
      <c r="G5" s="15">
        <f>IF($A5="","",F5*参数!$B$9)</f>
        <v>25000</v>
      </c>
      <c r="H5" s="16">
        <f t="shared" ref="H5:H28" si="0">IF($A5="","",G5/D5)</f>
        <v>16650.016650016652</v>
      </c>
      <c r="I5" s="17">
        <f>IF($A5="","",G5*参数!$B$13)</f>
        <v>14.999999999999998</v>
      </c>
      <c r="J5" s="18">
        <f>IF($A5="","",G5*参数!$B$15*参数!$B$16)</f>
        <v>7.5</v>
      </c>
      <c r="K5" s="17">
        <f t="shared" ref="K5:K28" si="1">IF($A5="","",H5*(E5-D5))</f>
        <v>7802.1376777540572</v>
      </c>
      <c r="L5" s="18">
        <f>IF($A5="","",H5*E5*参数!$B$13)</f>
        <v>19.681282606652431</v>
      </c>
      <c r="M5" s="18">
        <f t="shared" ref="M5:M28" si="2">IF($A5="","",MAX(0,F5+K5-I5-J5-L5))</f>
        <v>17759.956395147405</v>
      </c>
      <c r="N5" s="19">
        <f t="shared" ref="N5:N28" si="3">IF($A5="","",M5/F5)</f>
        <v>1.7759956395147405</v>
      </c>
      <c r="O5" s="14">
        <f>IF($A5="","",D5*(1-1/参数!$B$9)/(1-参数!$B$11-参数!$B$12))</f>
        <v>0.90816532258064497</v>
      </c>
      <c r="P5" s="14">
        <f>IF($A5="","",B5*(1-参数!$B$17))</f>
        <v>1.2000000000000002</v>
      </c>
      <c r="Q5" s="20">
        <f t="shared" ref="Q5:Q28" si="4">IF($A5="","",P5/O5-1)</f>
        <v>0.3213453213453219</v>
      </c>
      <c r="R5" s="12" t="str">
        <f t="shared" ref="R5:R28" si="5">IF($A5="","",IF(P5&lt;=O5,"插针触发强平","OK"))</f>
        <v>OK</v>
      </c>
      <c r="S5" s="5"/>
      <c r="T5" s="5"/>
    </row>
    <row r="6" spans="1:20" ht="20" customHeight="1">
      <c r="A6" s="12">
        <f>IF(ROW()-4&lt;=参数!$B$8,ROW()-4,"")</f>
        <v>2</v>
      </c>
      <c r="B6" s="14">
        <f>IF($A6="","",IF($A6=1,参数!$B$6,C5))</f>
        <v>1.9720684573832918</v>
      </c>
      <c r="C6" s="14">
        <f>IF($A6="","",参数!$B$6*(参数!$B$7/参数!$B$6)^($A6/参数!$B$8))</f>
        <v>2.5927026670707436</v>
      </c>
      <c r="D6" s="14">
        <f>IF($A6="","",B6*(1+参数!$B$14))</f>
        <v>1.974040525840675</v>
      </c>
      <c r="E6" s="14">
        <f>IF($A6="","",C6*(1-参数!$B$14))</f>
        <v>2.5901099644036729</v>
      </c>
      <c r="F6" s="14">
        <f>IF($A6="","",IF($A6=1,参数!$B$5,M5))</f>
        <v>17759.956395147405</v>
      </c>
      <c r="G6" s="15">
        <f>IF($A6="","",F6*参数!$B$9)</f>
        <v>44399.890987868508</v>
      </c>
      <c r="H6" s="16">
        <f t="shared" si="0"/>
        <v>22491.88423776667</v>
      </c>
      <c r="I6" s="17">
        <f>IF($A6="","",G6*参数!$B$13)</f>
        <v>26.639934592721101</v>
      </c>
      <c r="J6" s="18">
        <f>IF($A6="","",G6*参数!$B$15*参数!$B$16)</f>
        <v>13.319967296360554</v>
      </c>
      <c r="K6" s="17">
        <f t="shared" si="1"/>
        <v>13856.562494584854</v>
      </c>
      <c r="L6" s="18">
        <f>IF($A6="","",H6*E6*参数!$B$13)</f>
        <v>34.953872089472014</v>
      </c>
      <c r="M6" s="18">
        <f t="shared" si="2"/>
        <v>31541.605115753708</v>
      </c>
      <c r="N6" s="19">
        <f t="shared" si="3"/>
        <v>1.7759956395147398</v>
      </c>
      <c r="O6" s="14">
        <f>IF($A6="","",D6*(1-1/参数!$B$9)/(1-参数!$B$11-参数!$B$12))</f>
        <v>1.1939761245004081</v>
      </c>
      <c r="P6" s="14">
        <f>IF($A6="","",B6*(1-参数!$B$17))</f>
        <v>1.5776547659066336</v>
      </c>
      <c r="Q6" s="20">
        <f t="shared" si="4"/>
        <v>0.32134532134532168</v>
      </c>
      <c r="R6" s="12" t="str">
        <f t="shared" si="5"/>
        <v>OK</v>
      </c>
      <c r="S6" s="5"/>
      <c r="T6" s="5"/>
    </row>
    <row r="7" spans="1:20" ht="20" customHeight="1">
      <c r="A7" s="12">
        <f>IF(ROW()-4&lt;=参数!$B$8,ROW()-4,"")</f>
        <v>3</v>
      </c>
      <c r="B7" s="14">
        <f>IF($A7="","",IF($A7=1,参数!$B$6,C6))</f>
        <v>2.5927026670707436</v>
      </c>
      <c r="C7" s="14">
        <f>IF($A7="","",参数!$B$6*(参数!$B$7/参数!$B$6)^($A7/参数!$B$8))</f>
        <v>3.4086580994024978</v>
      </c>
      <c r="D7" s="14">
        <f>IF($A7="","",B7*(1+参数!$B$14))</f>
        <v>2.5952953697378143</v>
      </c>
      <c r="E7" s="14">
        <f>IF($A7="","",C7*(1-参数!$B$14))</f>
        <v>3.4052494413030954</v>
      </c>
      <c r="F7" s="14">
        <f>IF($A7="","",IF($A7=1,参数!$B$5,M6))</f>
        <v>31541.605115753708</v>
      </c>
      <c r="G7" s="15">
        <f>IF($A7="","",F7*参数!$B$9)</f>
        <v>78854.012789384273</v>
      </c>
      <c r="H7" s="16">
        <f t="shared" si="0"/>
        <v>30383.444485299711</v>
      </c>
      <c r="I7" s="17">
        <f>IF($A7="","",G7*参数!$B$13)</f>
        <v>47.31240767363056</v>
      </c>
      <c r="J7" s="18">
        <f>IF($A7="","",G7*参数!$B$15*参数!$B$16)</f>
        <v>23.656203836815283</v>
      </c>
      <c r="K7" s="17">
        <f t="shared" si="1"/>
        <v>24609.194569046187</v>
      </c>
      <c r="L7" s="18">
        <f>IF($A7="","",H7*E7*参数!$B$13)</f>
        <v>62.07792441505827</v>
      </c>
      <c r="M7" s="18">
        <f t="shared" si="2"/>
        <v>56017.753148874392</v>
      </c>
      <c r="N7" s="19">
        <f t="shared" si="3"/>
        <v>1.7759956395147396</v>
      </c>
      <c r="O7" s="14">
        <f>IF($A7="","",D7*(1-1/参数!$B$9)/(1-参数!$B$11-参数!$B$12))</f>
        <v>1.5697351026640005</v>
      </c>
      <c r="P7" s="14">
        <f>IF($A7="","",B7*(1-参数!$B$17))</f>
        <v>2.074162133656595</v>
      </c>
      <c r="Q7" s="20">
        <f t="shared" si="4"/>
        <v>0.32134532134532146</v>
      </c>
      <c r="R7" s="12" t="str">
        <f t="shared" si="5"/>
        <v>OK</v>
      </c>
      <c r="S7" s="5"/>
      <c r="T7" s="5"/>
    </row>
    <row r="8" spans="1:20" ht="20" customHeight="1">
      <c r="A8" s="12">
        <f>IF(ROW()-4&lt;=参数!$B$8,ROW()-4,"")</f>
        <v>4</v>
      </c>
      <c r="B8" s="14">
        <f>IF($A8="","",IF($A8=1,参数!$B$6,C7))</f>
        <v>3.4086580994024978</v>
      </c>
      <c r="C8" s="14">
        <f>IF($A8="","",参数!$B$6*(参数!$B$7/参数!$B$6)^($A8/参数!$B$8))</f>
        <v>4.4814047465571649</v>
      </c>
      <c r="D8" s="14">
        <f>IF($A8="","",B8*(1+参数!$B$14))</f>
        <v>3.4120667575018997</v>
      </c>
      <c r="E8" s="14">
        <f>IF($A8="","",C8*(1-参数!$B$14))</f>
        <v>4.4769233418106076</v>
      </c>
      <c r="F8" s="14">
        <f>IF($A8="","",IF($A8=1,参数!$B$5,M7))</f>
        <v>56017.753148874392</v>
      </c>
      <c r="G8" s="15">
        <f>IF($A8="","",F8*参数!$B$9)</f>
        <v>140044.38287218599</v>
      </c>
      <c r="H8" s="16">
        <f t="shared" si="0"/>
        <v>41043.857821444755</v>
      </c>
      <c r="I8" s="17">
        <f>IF($A8="","",G8*参数!$B$13)</f>
        <v>84.026629723311586</v>
      </c>
      <c r="J8" s="18">
        <f>IF($A8="","",G8*参数!$B$15*参数!$B$16)</f>
        <v>42.0133148616558</v>
      </c>
      <c r="K8" s="17">
        <f t="shared" si="1"/>
        <v>43705.822246595904</v>
      </c>
      <c r="L8" s="18">
        <f>IF($A8="","",H8*E8*参数!$B$13)</f>
        <v>110.25012307126913</v>
      </c>
      <c r="M8" s="18">
        <f t="shared" si="2"/>
        <v>99487.285327814054</v>
      </c>
      <c r="N8" s="19">
        <f t="shared" si="3"/>
        <v>1.7759956395147407</v>
      </c>
      <c r="O8" s="14">
        <f>IF($A8="","",D8*(1-1/参数!$B$9)/(1-参数!$B$11-参数!$B$12))</f>
        <v>2.0637500549406651</v>
      </c>
      <c r="P8" s="14">
        <f>IF($A8="","",B8*(1-参数!$B$17))</f>
        <v>2.7269264795219983</v>
      </c>
      <c r="Q8" s="20">
        <f t="shared" si="4"/>
        <v>0.32134532134532168</v>
      </c>
      <c r="R8" s="12" t="str">
        <f t="shared" si="5"/>
        <v>OK</v>
      </c>
      <c r="S8" s="5"/>
      <c r="T8" s="5"/>
    </row>
    <row r="9" spans="1:20" ht="20" customHeight="1">
      <c r="A9" s="12">
        <f>IF(ROW()-4&lt;=参数!$B$8,ROW()-4,"")</f>
        <v>5</v>
      </c>
      <c r="B9" s="14">
        <f>IF($A9="","",IF($A9=1,参数!$B$6,C8))</f>
        <v>4.4814047465571649</v>
      </c>
      <c r="C9" s="14">
        <f>IF($A9="","",参数!$B$6*(参数!$B$7/参数!$B$6)^($A9/参数!$B$8))</f>
        <v>5.8917579636354329</v>
      </c>
      <c r="D9" s="14">
        <f>IF($A9="","",B9*(1+参数!$B$14))</f>
        <v>4.4858861513037214</v>
      </c>
      <c r="E9" s="14">
        <f>IF($A9="","",C9*(1-参数!$B$14))</f>
        <v>5.8858662056717979</v>
      </c>
      <c r="F9" s="14">
        <f>IF($A9="","",IF($A9=1,参数!$B$5,M8))</f>
        <v>99487.285327814054</v>
      </c>
      <c r="G9" s="15">
        <f>IF($A9="","",F9*参数!$B$9)</f>
        <v>248718.21331953513</v>
      </c>
      <c r="H9" s="16">
        <f t="shared" si="0"/>
        <v>55444.611149404853</v>
      </c>
      <c r="I9" s="17">
        <f>IF($A9="","",G9*参数!$B$13)</f>
        <v>149.23092799172107</v>
      </c>
      <c r="J9" s="18">
        <f>IF($A9="","",G9*参数!$B$15*参数!$B$16)</f>
        <v>74.615463995860551</v>
      </c>
      <c r="K9" s="17">
        <f t="shared" si="1"/>
        <v>77621.349731360664</v>
      </c>
      <c r="L9" s="18">
        <f>IF($A9="","",H9*E9*参数!$B$13)</f>
        <v>195.80373783053747</v>
      </c>
      <c r="M9" s="18">
        <f t="shared" si="2"/>
        <v>176688.98492935661</v>
      </c>
      <c r="N9" s="19">
        <f t="shared" si="3"/>
        <v>1.7759956395147407</v>
      </c>
      <c r="O9" s="14">
        <f>IF($A9="","",D9*(1-1/参数!$B$9)/(1-参数!$B$11-参数!$B$12))</f>
        <v>2.7132375915143476</v>
      </c>
      <c r="P9" s="14">
        <f>IF($A9="","",B9*(1-参数!$B$17))</f>
        <v>3.5851237972457319</v>
      </c>
      <c r="Q9" s="20">
        <f t="shared" si="4"/>
        <v>0.32134532134532146</v>
      </c>
      <c r="R9" s="12" t="str">
        <f t="shared" si="5"/>
        <v>OK</v>
      </c>
      <c r="S9" s="5"/>
      <c r="T9" s="5"/>
    </row>
    <row r="10" spans="1:20" ht="20" customHeight="1">
      <c r="A10" s="12">
        <f>IF(ROW()-4&lt;=参数!$B$8,ROW()-4,"")</f>
        <v>6</v>
      </c>
      <c r="B10" s="14">
        <f>IF($A10="","",IF($A10=1,参数!$B$6,C9))</f>
        <v>5.8917579636354329</v>
      </c>
      <c r="C10" s="14">
        <f>IF($A10="","",参数!$B$6*(参数!$B$7/参数!$B$6)^($A10/参数!$B$8))</f>
        <v>7.745966692414834</v>
      </c>
      <c r="D10" s="14">
        <f>IF($A10="","",B10*(1+参数!$B$14))</f>
        <v>5.897649721599068</v>
      </c>
      <c r="E10" s="14">
        <f>IF($A10="","",C10*(1-参数!$B$14))</f>
        <v>7.7382207257224191</v>
      </c>
      <c r="F10" s="14">
        <f>IF($A10="","",IF($A10=1,参数!$B$5,M9))</f>
        <v>176688.98492935661</v>
      </c>
      <c r="G10" s="14">
        <f>IF($A10="","",F10*参数!$B$9)</f>
        <v>441722.46232339152</v>
      </c>
      <c r="H10" s="16">
        <f t="shared" si="0"/>
        <v>74898.04976135891</v>
      </c>
      <c r="I10" s="18">
        <f>IF($A10="","",G10*参数!$B$13)</f>
        <v>265.03347739403489</v>
      </c>
      <c r="J10" s="18">
        <f>IF($A10="","",G10*参数!$B$15*参数!$B$16)</f>
        <v>132.51673869701747</v>
      </c>
      <c r="K10" s="18">
        <f t="shared" si="1"/>
        <v>137855.17865614509</v>
      </c>
      <c r="L10" s="18">
        <f>IF($A10="","",H10*E10*参数!$B$13)</f>
        <v>347.74658458772194</v>
      </c>
      <c r="M10" s="18">
        <f t="shared" si="2"/>
        <v>313798.86678482295</v>
      </c>
      <c r="N10" s="19">
        <f t="shared" si="3"/>
        <v>1.77599563951474</v>
      </c>
      <c r="O10" s="14">
        <f>IF($A10="","",D10*(1-1/参数!$B$9)/(1-参数!$B$11-参数!$B$12))</f>
        <v>3.5671268477413713</v>
      </c>
      <c r="P10" s="14">
        <f>IF($A10="","",B10*(1-参数!$B$17))</f>
        <v>4.7134063709083467</v>
      </c>
      <c r="Q10" s="20">
        <f t="shared" si="4"/>
        <v>0.32134532134532168</v>
      </c>
      <c r="R10" s="12" t="str">
        <f t="shared" si="5"/>
        <v>OK</v>
      </c>
      <c r="S10" s="5"/>
      <c r="T10" s="5"/>
    </row>
    <row r="11" spans="1:20" ht="20" customHeight="1">
      <c r="A11" s="12">
        <f>IF(ROW()-4&lt;=参数!$B$8,ROW()-4,"")</f>
        <v>7</v>
      </c>
      <c r="B11" s="14">
        <f>IF($A11="","",IF($A11=1,参数!$B$6,C10))</f>
        <v>7.745966692414834</v>
      </c>
      <c r="C11" s="14">
        <f>IF($A11="","",参数!$B$6*(参数!$B$7/参数!$B$6)^($A11/参数!$B$8))</f>
        <v>10.183717724035256</v>
      </c>
      <c r="D11" s="14">
        <f>IF($A11="","",B11*(1+参数!$B$14))</f>
        <v>7.7537126591072481</v>
      </c>
      <c r="E11" s="14">
        <f>IF($A11="","",C11*(1-参数!$B$14))</f>
        <v>10.173534006311222</v>
      </c>
      <c r="F11" s="14">
        <f>IF($A11="","",IF($A11=1,参数!$B$5,M10))</f>
        <v>313798.86678482295</v>
      </c>
      <c r="G11" s="14">
        <f>IF($A11="","",F11*参数!$B$9)</f>
        <v>784497.16696205735</v>
      </c>
      <c r="H11" s="16">
        <f t="shared" si="0"/>
        <v>101176.97178791034</v>
      </c>
      <c r="I11" s="18">
        <f>IF($A11="","",G11*参数!$B$13)</f>
        <v>470.69830017723439</v>
      </c>
      <c r="J11" s="18">
        <f>IF($A11="","",G11*参数!$B$15*参数!$B$16)</f>
        <v>235.34915008861722</v>
      </c>
      <c r="K11" s="18">
        <f t="shared" si="1"/>
        <v>244830.19617783965</v>
      </c>
      <c r="L11" s="18">
        <f>IF($A11="","",H11*E11*参数!$B$13)</f>
        <v>617.5964178839381</v>
      </c>
      <c r="M11" s="18">
        <f t="shared" si="2"/>
        <v>557305.41909451282</v>
      </c>
      <c r="N11" s="19">
        <f t="shared" si="3"/>
        <v>1.7759956395147416</v>
      </c>
      <c r="O11" s="14">
        <f>IF($A11="","",D11*(1-1/参数!$B$9)/(1-参数!$B$11-参数!$B$12))</f>
        <v>4.6897455599439004</v>
      </c>
      <c r="P11" s="14">
        <f>IF($A11="","",B11*(1-参数!$B$17))</f>
        <v>6.1967733539318672</v>
      </c>
      <c r="Q11" s="20">
        <f t="shared" si="4"/>
        <v>0.32134532134532146</v>
      </c>
      <c r="R11" s="12" t="str">
        <f t="shared" si="5"/>
        <v>OK</v>
      </c>
      <c r="S11" s="5"/>
      <c r="T11" s="5"/>
    </row>
    <row r="12" spans="1:20" ht="20" customHeight="1">
      <c r="A12" s="12">
        <f>IF(ROW()-4&lt;=参数!$B$8,ROW()-4,"")</f>
        <v>8</v>
      </c>
      <c r="B12" s="14">
        <f>IF($A12="","",IF($A12=1,参数!$B$6,C11))</f>
        <v>10.183717724035256</v>
      </c>
      <c r="C12" s="14">
        <f>IF($A12="","",参数!$B$6*(参数!$B$7/参数!$B$6)^($A12/参数!$B$8))</f>
        <v>13.388659001643394</v>
      </c>
      <c r="D12" s="14">
        <f>IF($A12="","",B12*(1+参数!$B$14))</f>
        <v>10.193901441759291</v>
      </c>
      <c r="E12" s="14">
        <f>IF($A12="","",C12*(1-参数!$B$14))</f>
        <v>13.37527034264175</v>
      </c>
      <c r="F12" s="14">
        <f>IF($A12="","",IF($A12=1,参数!$B$5,M11))</f>
        <v>557305.41909451282</v>
      </c>
      <c r="G12" s="14">
        <f>IF($A12="","",F12*参数!$B$9)</f>
        <v>1393263.547736282</v>
      </c>
      <c r="H12" s="16">
        <f t="shared" si="0"/>
        <v>136676.18386310677</v>
      </c>
      <c r="I12" s="18">
        <f>IF($A12="","",G12*参数!$B$13)</f>
        <v>835.95812864176912</v>
      </c>
      <c r="J12" s="18">
        <f>IF($A12="","",G12*参数!$B$15*参数!$B$16)</f>
        <v>417.97906432088462</v>
      </c>
      <c r="K12" s="18">
        <f t="shared" si="1"/>
        <v>434817.3608333809</v>
      </c>
      <c r="L12" s="18">
        <f>IF($A12="","",H12*E12*参数!$B$13)</f>
        <v>1096.8485451417976</v>
      </c>
      <c r="M12" s="18">
        <f t="shared" si="2"/>
        <v>989771.99418978929</v>
      </c>
      <c r="N12" s="19">
        <f t="shared" si="3"/>
        <v>1.7759956395147396</v>
      </c>
      <c r="O12" s="14">
        <f>IF($A12="","",D12*(1-1/参数!$B$9)/(1-参数!$B$11-参数!$B$12))</f>
        <v>6.1656661946124736</v>
      </c>
      <c r="P12" s="14">
        <f>IF($A12="","",B12*(1-参数!$B$17))</f>
        <v>8.1469741792282058</v>
      </c>
      <c r="Q12" s="20">
        <f t="shared" si="4"/>
        <v>0.32134532134532168</v>
      </c>
      <c r="R12" s="12" t="str">
        <f t="shared" si="5"/>
        <v>OK</v>
      </c>
      <c r="S12" s="5"/>
      <c r="T12" s="5"/>
    </row>
    <row r="13" spans="1:20" ht="20" customHeight="1">
      <c r="A13" s="12">
        <f>IF(ROW()-4&lt;=参数!$B$8,ROW()-4,"")</f>
        <v>9</v>
      </c>
      <c r="B13" s="14">
        <f>IF($A13="","",IF($A13=1,参数!$B$6,C12))</f>
        <v>13.388659001643394</v>
      </c>
      <c r="C13" s="14">
        <f>IF($A13="","",参数!$B$6*(参数!$B$7/参数!$B$6)^($A13/参数!$B$8))</f>
        <v>17.602234735867871</v>
      </c>
      <c r="D13" s="14">
        <f>IF($A13="","",B13*(1+参数!$B$14))</f>
        <v>13.402047660645035</v>
      </c>
      <c r="E13" s="14">
        <f>IF($A13="","",C13*(1-参数!$B$14))</f>
        <v>17.584632501132003</v>
      </c>
      <c r="F13" s="14">
        <f>IF($A13="","",IF($A13=1,参数!$B$5,M12))</f>
        <v>989771.99418978929</v>
      </c>
      <c r="G13" s="14">
        <f>IF($A13="","",F13*参数!$B$9)</f>
        <v>2474429.9854744733</v>
      </c>
      <c r="H13" s="16">
        <f t="shared" si="0"/>
        <v>184630.74062485315</v>
      </c>
      <c r="I13" s="18">
        <f>IF($A13="","",G13*参数!$B$13)</f>
        <v>1484.6579912846839</v>
      </c>
      <c r="J13" s="18">
        <f>IF($A13="","",G13*参数!$B$15*参数!$B$16)</f>
        <v>742.32899564234197</v>
      </c>
      <c r="K13" s="18">
        <f t="shared" si="1"/>
        <v>772233.73682539212</v>
      </c>
      <c r="L13" s="18">
        <f>IF($A13="","",H13*E13*参数!$B$13)</f>
        <v>1947.9982333799192</v>
      </c>
      <c r="M13" s="18">
        <f t="shared" si="2"/>
        <v>1757830.7457948744</v>
      </c>
      <c r="N13" s="19">
        <f t="shared" si="3"/>
        <v>1.77599563951474</v>
      </c>
      <c r="O13" s="14">
        <f>IF($A13="","",D13*(1-1/参数!$B$9)/(1-参数!$B$11-参数!$B$12))</f>
        <v>8.1060772140998179</v>
      </c>
      <c r="P13" s="14">
        <f>IF($A13="","",B13*(1-参数!$B$17))</f>
        <v>10.710927201314716</v>
      </c>
      <c r="Q13" s="20">
        <f t="shared" si="4"/>
        <v>0.3213453213453219</v>
      </c>
      <c r="R13" s="12" t="str">
        <f t="shared" si="5"/>
        <v>OK</v>
      </c>
      <c r="S13" s="5"/>
      <c r="T13" s="5"/>
    </row>
    <row r="14" spans="1:20" ht="20" customHeight="1">
      <c r="A14" s="12">
        <f>IF(ROW()-4&lt;=参数!$B$8,ROW()-4,"")</f>
        <v>10</v>
      </c>
      <c r="B14" s="14">
        <f>IF($A14="","",IF($A14=1,参数!$B$6,C13))</f>
        <v>17.602234735867871</v>
      </c>
      <c r="C14" s="14">
        <f>IF($A14="","",参数!$B$6*(参数!$B$7/参数!$B$6)^($A14/参数!$B$8))</f>
        <v>23.141874601374361</v>
      </c>
      <c r="D14" s="14">
        <f>IF($A14="","",B14*(1+参数!$B$14))</f>
        <v>17.619836970603735</v>
      </c>
      <c r="E14" s="14">
        <f>IF($A14="","",C14*(1-参数!$B$14))</f>
        <v>23.118732726772986</v>
      </c>
      <c r="F14" s="14">
        <f>IF($A14="","",IF($A14=1,参数!$B$5,M13))</f>
        <v>1757830.7457948744</v>
      </c>
      <c r="G14" s="14">
        <f>IF($A14="","",F14*参数!$B$9)</f>
        <v>4394576.8644871861</v>
      </c>
      <c r="H14" s="16">
        <f t="shared" si="0"/>
        <v>249410.75628673128</v>
      </c>
      <c r="I14" s="18">
        <f>IF($A14="","",G14*参数!$B$13)</f>
        <v>2636.7461186923115</v>
      </c>
      <c r="J14" s="18">
        <f>IF($A14="","",G14*参数!$B$15*参数!$B$16)</f>
        <v>1318.373059346156</v>
      </c>
      <c r="K14" s="18">
        <f t="shared" si="1"/>
        <v>1371483.74928807</v>
      </c>
      <c r="L14" s="18">
        <f>IF($A14="","",H14*E14*参数!$B$13)</f>
        <v>3459.6363682651531</v>
      </c>
      <c r="M14" s="18">
        <f t="shared" si="2"/>
        <v>3121899.7395366407</v>
      </c>
      <c r="N14" s="19">
        <f t="shared" si="3"/>
        <v>1.7759956395147403</v>
      </c>
      <c r="O14" s="14">
        <f>IF($A14="","",D14*(1-1/参数!$B$9)/(1-参数!$B$11-参数!$B$12))</f>
        <v>10.657159458026452</v>
      </c>
      <c r="P14" s="14">
        <f>IF($A14="","",B14*(1-参数!$B$17))</f>
        <v>14.081787788694298</v>
      </c>
      <c r="Q14" s="20">
        <f t="shared" si="4"/>
        <v>0.32134532134532168</v>
      </c>
      <c r="R14" s="12" t="str">
        <f t="shared" si="5"/>
        <v>OK</v>
      </c>
      <c r="S14" s="5"/>
      <c r="T14" s="5"/>
    </row>
    <row r="15" spans="1:20" ht="20" customHeight="1">
      <c r="A15" s="12">
        <f>IF(ROW()-4&lt;=参数!$B$8,ROW()-4,"")</f>
        <v>11</v>
      </c>
      <c r="B15" s="14">
        <f>IF($A15="","",IF($A15=1,参数!$B$6,C14))</f>
        <v>23.141874601374361</v>
      </c>
      <c r="C15" s="14">
        <f>IF($A15="","",参数!$B$6*(参数!$B$7/参数!$B$6)^($A15/参数!$B$8))</f>
        <v>30.424907297393275</v>
      </c>
      <c r="D15" s="14">
        <f>IF($A15="","",B15*(1+参数!$B$14))</f>
        <v>23.165016475975733</v>
      </c>
      <c r="E15" s="14">
        <f>IF($A15="","",C15*(1-参数!$B$14))</f>
        <v>30.394482390095881</v>
      </c>
      <c r="F15" s="14">
        <f>IF($A15="","",IF($A15=1,参数!$B$5,M14))</f>
        <v>3121899.7395366407</v>
      </c>
      <c r="G15" s="14">
        <f>IF($A15="","",F15*参数!$B$9)</f>
        <v>7804749.348841602</v>
      </c>
      <c r="H15" s="16">
        <f t="shared" si="0"/>
        <v>336919.65455478308</v>
      </c>
      <c r="I15" s="18">
        <f>IF($A15="","",G15*参数!$B$13)</f>
        <v>4682.8496093049607</v>
      </c>
      <c r="J15" s="18">
        <f>IF($A15="","",G15*参数!$B$15*参数!$B$16)</f>
        <v>2341.4248046524808</v>
      </c>
      <c r="K15" s="18">
        <f t="shared" si="1"/>
        <v>2435749.1584009393</v>
      </c>
      <c r="L15" s="18">
        <f>IF($A15="","",H15*E15*参数!$B$13)</f>
        <v>6144.2991043455249</v>
      </c>
      <c r="M15" s="18">
        <f t="shared" si="2"/>
        <v>5544480.3244192768</v>
      </c>
      <c r="N15" s="19">
        <f t="shared" si="3"/>
        <v>1.77599563951474</v>
      </c>
      <c r="O15" s="14">
        <f>IF($A15="","",D15*(1-1/参数!$B$9)/(1-参数!$B$11-参数!$B$12))</f>
        <v>14.011098674985321</v>
      </c>
      <c r="P15" s="14">
        <f>IF($A15="","",B15*(1-参数!$B$17))</f>
        <v>18.513499681099489</v>
      </c>
      <c r="Q15" s="20">
        <f t="shared" si="4"/>
        <v>0.32134532134532168</v>
      </c>
      <c r="R15" s="12" t="str">
        <f t="shared" si="5"/>
        <v>OK</v>
      </c>
      <c r="S15" s="5"/>
      <c r="T15" s="5"/>
    </row>
    <row r="16" spans="1:20" ht="20" customHeight="1">
      <c r="A16" s="12">
        <f>IF(ROW()-4&lt;=参数!$B$8,ROW()-4,"")</f>
        <v>12</v>
      </c>
      <c r="B16" s="14">
        <f>IF($A16="","",IF($A16=1,参数!$B$6,C15))</f>
        <v>30.424907297393275</v>
      </c>
      <c r="C16" s="14">
        <f>IF($A16="","",参数!$B$6*(参数!$B$7/参数!$B$6)^($A16/参数!$B$8))</f>
        <v>40</v>
      </c>
      <c r="D16" s="14">
        <f>IF($A16="","",B16*(1+参数!$B$14))</f>
        <v>30.455332204690666</v>
      </c>
      <c r="E16" s="14">
        <f>IF($A16="","",C16*(1-参数!$B$14))</f>
        <v>39.96</v>
      </c>
      <c r="F16" s="14">
        <f>IF($A16="","",IF($A16=1,参数!$B$5,M15))</f>
        <v>5544480.3244192768</v>
      </c>
      <c r="G16" s="14">
        <f>IF($A16="","",F16*参数!$B$9)</f>
        <v>13861200.811048191</v>
      </c>
      <c r="H16" s="16">
        <f t="shared" si="0"/>
        <v>455132.14953253139</v>
      </c>
      <c r="I16" s="18">
        <f>IF($A16="","",G16*参数!$B$13)</f>
        <v>8316.7204866289139</v>
      </c>
      <c r="J16" s="18">
        <f>IF($A16="","",G16*参数!$B$15*参数!$B$16)</f>
        <v>4158.360243314457</v>
      </c>
      <c r="K16" s="18">
        <f t="shared" si="1"/>
        <v>4325879.8842717633</v>
      </c>
      <c r="L16" s="18">
        <f>IF($A16="","",H16*E16*参数!$B$13)</f>
        <v>10912.248417191971</v>
      </c>
      <c r="M16" s="18">
        <f t="shared" si="2"/>
        <v>9846972.8795439042</v>
      </c>
      <c r="N16" s="19">
        <f t="shared" si="3"/>
        <v>1.7759956395147396</v>
      </c>
      <c r="O16" s="14">
        <f>IF($A16="","",D16*(1-1/参数!$B$9)/(1-参数!$B$11-参数!$B$12))</f>
        <v>18.420563833482259</v>
      </c>
      <c r="P16" s="14">
        <f>IF($A16="","",B16*(1-参数!$B$17))</f>
        <v>24.33992583791462</v>
      </c>
      <c r="Q16" s="20">
        <f t="shared" si="4"/>
        <v>0.32134532134532146</v>
      </c>
      <c r="R16" s="12" t="str">
        <f t="shared" si="5"/>
        <v>OK</v>
      </c>
      <c r="S16" s="5"/>
      <c r="T16" s="5"/>
    </row>
    <row r="17" spans="1:20" ht="20" customHeight="1">
      <c r="A17" s="12" t="str">
        <f>IF(ROW()-4&lt;=参数!$B$8,ROW()-4,"")</f>
        <v/>
      </c>
      <c r="B17" s="14" t="str">
        <f>IF($A17="","",IF($A17=1,参数!$B$6,C16))</f>
        <v/>
      </c>
      <c r="C17" s="14" t="str">
        <f>IF($A17="","",参数!$B$6*(参数!$B$7/参数!$B$6)^($A17/参数!$B$8))</f>
        <v/>
      </c>
      <c r="D17" s="14" t="str">
        <f>IF($A17="","",B17*(1+参数!$B$14))</f>
        <v/>
      </c>
      <c r="E17" s="14" t="str">
        <f>IF($A17="","",C17*(1-参数!$B$14))</f>
        <v/>
      </c>
      <c r="F17" s="14" t="str">
        <f>IF($A17="","",IF($A17=1,参数!$B$5,M16))</f>
        <v/>
      </c>
      <c r="G17" s="14" t="str">
        <f>IF($A17="","",F17*参数!$B$9)</f>
        <v/>
      </c>
      <c r="H17" s="16" t="str">
        <f t="shared" si="0"/>
        <v/>
      </c>
      <c r="I17" s="18" t="str">
        <f>IF($A17="","",G17*参数!$B$13)</f>
        <v/>
      </c>
      <c r="J17" s="18" t="str">
        <f>IF($A17="","",G17*参数!$B$15*参数!$B$16)</f>
        <v/>
      </c>
      <c r="K17" s="18" t="str">
        <f t="shared" si="1"/>
        <v/>
      </c>
      <c r="L17" s="18" t="str">
        <f>IF($A17="","",H17*E17*参数!$B$13)</f>
        <v/>
      </c>
      <c r="M17" s="18" t="str">
        <f t="shared" si="2"/>
        <v/>
      </c>
      <c r="N17" s="19" t="str">
        <f t="shared" si="3"/>
        <v/>
      </c>
      <c r="O17" s="14" t="str">
        <f>IF($A17="","",D17*(1-1/参数!$B$9)/(1-参数!$B$11-参数!$B$12))</f>
        <v/>
      </c>
      <c r="P17" s="14" t="str">
        <f>IF($A17="","",B17*(1-参数!$B$17))</f>
        <v/>
      </c>
      <c r="Q17" s="20" t="str">
        <f t="shared" si="4"/>
        <v/>
      </c>
      <c r="R17" s="12" t="str">
        <f t="shared" si="5"/>
        <v/>
      </c>
      <c r="S17" s="5"/>
      <c r="T17" s="5"/>
    </row>
    <row r="18" spans="1:20" ht="20" customHeight="1">
      <c r="A18" s="12" t="str">
        <f>IF(ROW()-4&lt;=参数!$B$8,ROW()-4,"")</f>
        <v/>
      </c>
      <c r="B18" s="14" t="str">
        <f>IF($A18="","",IF($A18=1,参数!$B$6,C17))</f>
        <v/>
      </c>
      <c r="C18" s="14" t="str">
        <f>IF($A18="","",参数!$B$6*(参数!$B$7/参数!$B$6)^($A18/参数!$B$8))</f>
        <v/>
      </c>
      <c r="D18" s="14" t="str">
        <f>IF($A18="","",B18*(1+参数!$B$14))</f>
        <v/>
      </c>
      <c r="E18" s="14" t="str">
        <f>IF($A18="","",C18*(1-参数!$B$14))</f>
        <v/>
      </c>
      <c r="F18" s="14" t="str">
        <f>IF($A18="","",IF($A18=1,参数!$B$5,M17))</f>
        <v/>
      </c>
      <c r="G18" s="14" t="str">
        <f>IF($A18="","",F18*参数!$B$9)</f>
        <v/>
      </c>
      <c r="H18" s="16" t="str">
        <f t="shared" si="0"/>
        <v/>
      </c>
      <c r="I18" s="18" t="str">
        <f>IF($A18="","",G18*参数!$B$13)</f>
        <v/>
      </c>
      <c r="J18" s="18" t="str">
        <f>IF($A18="","",G18*参数!$B$15*参数!$B$16)</f>
        <v/>
      </c>
      <c r="K18" s="18" t="str">
        <f t="shared" si="1"/>
        <v/>
      </c>
      <c r="L18" s="18" t="str">
        <f>IF($A18="","",H18*E18*参数!$B$13)</f>
        <v/>
      </c>
      <c r="M18" s="18" t="str">
        <f t="shared" si="2"/>
        <v/>
      </c>
      <c r="N18" s="19" t="str">
        <f t="shared" si="3"/>
        <v/>
      </c>
      <c r="O18" s="14" t="str">
        <f>IF($A18="","",D18*(1-1/参数!$B$9)/(1-参数!$B$11-参数!$B$12))</f>
        <v/>
      </c>
      <c r="P18" s="14" t="str">
        <f>IF($A18="","",B18*(1-参数!$B$17))</f>
        <v/>
      </c>
      <c r="Q18" s="20" t="str">
        <f t="shared" si="4"/>
        <v/>
      </c>
      <c r="R18" s="12" t="str">
        <f t="shared" si="5"/>
        <v/>
      </c>
      <c r="S18" s="5"/>
      <c r="T18" s="5"/>
    </row>
    <row r="19" spans="1:20" ht="20" customHeight="1">
      <c r="A19" s="12" t="str">
        <f>IF(ROW()-4&lt;=参数!$B$8,ROW()-4,"")</f>
        <v/>
      </c>
      <c r="B19" s="14" t="str">
        <f>IF($A19="","",IF($A19=1,参数!$B$6,C18))</f>
        <v/>
      </c>
      <c r="C19" s="14" t="str">
        <f>IF($A19="","",参数!$B$6*(参数!$B$7/参数!$B$6)^($A19/参数!$B$8))</f>
        <v/>
      </c>
      <c r="D19" s="14" t="str">
        <f>IF($A19="","",B19*(1+参数!$B$14))</f>
        <v/>
      </c>
      <c r="E19" s="14" t="str">
        <f>IF($A19="","",C19*(1-参数!$B$14))</f>
        <v/>
      </c>
      <c r="F19" s="14" t="str">
        <f>IF($A19="","",IF($A19=1,参数!$B$5,M18))</f>
        <v/>
      </c>
      <c r="G19" s="14" t="str">
        <f>IF($A19="","",F19*参数!$B$9)</f>
        <v/>
      </c>
      <c r="H19" s="16" t="str">
        <f t="shared" si="0"/>
        <v/>
      </c>
      <c r="I19" s="18" t="str">
        <f>IF($A19="","",G19*参数!$B$13)</f>
        <v/>
      </c>
      <c r="J19" s="18" t="str">
        <f>IF($A19="","",G19*参数!$B$15*参数!$B$16)</f>
        <v/>
      </c>
      <c r="K19" s="18" t="str">
        <f t="shared" si="1"/>
        <v/>
      </c>
      <c r="L19" s="18" t="str">
        <f>IF($A19="","",H19*E19*参数!$B$13)</f>
        <v/>
      </c>
      <c r="M19" s="18" t="str">
        <f t="shared" si="2"/>
        <v/>
      </c>
      <c r="N19" s="19" t="str">
        <f t="shared" si="3"/>
        <v/>
      </c>
      <c r="O19" s="14" t="str">
        <f>IF($A19="","",D19*(1-1/参数!$B$9)/(1-参数!$B$11-参数!$B$12))</f>
        <v/>
      </c>
      <c r="P19" s="14" t="str">
        <f>IF($A19="","",B19*(1-参数!$B$17))</f>
        <v/>
      </c>
      <c r="Q19" s="20" t="str">
        <f t="shared" si="4"/>
        <v/>
      </c>
      <c r="R19" s="12" t="str">
        <f t="shared" si="5"/>
        <v/>
      </c>
      <c r="S19" s="5"/>
      <c r="T19" s="5"/>
    </row>
    <row r="20" spans="1:20" ht="20" customHeight="1">
      <c r="A20" s="12" t="str">
        <f>IF(ROW()-4&lt;=参数!$B$8,ROW()-4,"")</f>
        <v/>
      </c>
      <c r="B20" s="14" t="str">
        <f>IF($A20="","",IF($A20=1,参数!$B$6,C19))</f>
        <v/>
      </c>
      <c r="C20" s="14" t="str">
        <f>IF($A20="","",参数!$B$6*(参数!$B$7/参数!$B$6)^($A20/参数!$B$8))</f>
        <v/>
      </c>
      <c r="D20" s="14" t="str">
        <f>IF($A20="","",B20*(1+参数!$B$14))</f>
        <v/>
      </c>
      <c r="E20" s="14" t="str">
        <f>IF($A20="","",C20*(1-参数!$B$14))</f>
        <v/>
      </c>
      <c r="F20" s="14" t="str">
        <f>IF($A20="","",IF($A20=1,参数!$B$5,M19))</f>
        <v/>
      </c>
      <c r="G20" s="14" t="str">
        <f>IF($A20="","",F20*参数!$B$9)</f>
        <v/>
      </c>
      <c r="H20" s="16" t="str">
        <f t="shared" si="0"/>
        <v/>
      </c>
      <c r="I20" s="18" t="str">
        <f>IF($A20="","",G20*参数!$B$13)</f>
        <v/>
      </c>
      <c r="J20" s="18" t="str">
        <f>IF($A20="","",G20*参数!$B$15*参数!$B$16)</f>
        <v/>
      </c>
      <c r="K20" s="18" t="str">
        <f t="shared" si="1"/>
        <v/>
      </c>
      <c r="L20" s="18" t="str">
        <f>IF($A20="","",H20*E20*参数!$B$13)</f>
        <v/>
      </c>
      <c r="M20" s="18" t="str">
        <f t="shared" si="2"/>
        <v/>
      </c>
      <c r="N20" s="19" t="str">
        <f t="shared" si="3"/>
        <v/>
      </c>
      <c r="O20" s="14" t="str">
        <f>IF($A20="","",D20*(1-1/参数!$B$9)/(1-参数!$B$11-参数!$B$12))</f>
        <v/>
      </c>
      <c r="P20" s="14" t="str">
        <f>IF($A20="","",B20*(1-参数!$B$17))</f>
        <v/>
      </c>
      <c r="Q20" s="20" t="str">
        <f t="shared" si="4"/>
        <v/>
      </c>
      <c r="R20" s="12" t="str">
        <f t="shared" si="5"/>
        <v/>
      </c>
      <c r="S20" s="5"/>
      <c r="T20" s="5"/>
    </row>
    <row r="21" spans="1:20" ht="20" customHeight="1">
      <c r="A21" s="12" t="str">
        <f>IF(ROW()-4&lt;=参数!$B$8,ROW()-4,"")</f>
        <v/>
      </c>
      <c r="B21" s="14" t="str">
        <f>IF($A21="","",IF($A21=1,参数!$B$6,C20))</f>
        <v/>
      </c>
      <c r="C21" s="14" t="str">
        <f>IF($A21="","",参数!$B$6*(参数!$B$7/参数!$B$6)^($A21/参数!$B$8))</f>
        <v/>
      </c>
      <c r="D21" s="14" t="str">
        <f>IF($A21="","",B21*(1+参数!$B$14))</f>
        <v/>
      </c>
      <c r="E21" s="14" t="str">
        <f>IF($A21="","",C21*(1-参数!$B$14))</f>
        <v/>
      </c>
      <c r="F21" s="14" t="str">
        <f>IF($A21="","",IF($A21=1,参数!$B$5,M20))</f>
        <v/>
      </c>
      <c r="G21" s="14" t="str">
        <f>IF($A21="","",F21*参数!$B$9)</f>
        <v/>
      </c>
      <c r="H21" s="16" t="str">
        <f t="shared" si="0"/>
        <v/>
      </c>
      <c r="I21" s="18" t="str">
        <f>IF($A21="","",G21*参数!$B$13)</f>
        <v/>
      </c>
      <c r="J21" s="18" t="str">
        <f>IF($A21="","",G21*参数!$B$15*参数!$B$16)</f>
        <v/>
      </c>
      <c r="K21" s="18" t="str">
        <f t="shared" si="1"/>
        <v/>
      </c>
      <c r="L21" s="18" t="str">
        <f>IF($A21="","",H21*E21*参数!$B$13)</f>
        <v/>
      </c>
      <c r="M21" s="18" t="str">
        <f t="shared" si="2"/>
        <v/>
      </c>
      <c r="N21" s="19" t="str">
        <f t="shared" si="3"/>
        <v/>
      </c>
      <c r="O21" s="14" t="str">
        <f>IF($A21="","",D21*(1-1/参数!$B$9)/(1-参数!$B$11-参数!$B$12))</f>
        <v/>
      </c>
      <c r="P21" s="14" t="str">
        <f>IF($A21="","",B21*(1-参数!$B$17))</f>
        <v/>
      </c>
      <c r="Q21" s="20" t="str">
        <f t="shared" si="4"/>
        <v/>
      </c>
      <c r="R21" s="12" t="str">
        <f t="shared" si="5"/>
        <v/>
      </c>
      <c r="S21" s="5"/>
      <c r="T21" s="5"/>
    </row>
    <row r="22" spans="1:20" ht="20" customHeight="1">
      <c r="A22" s="12" t="str">
        <f>IF(ROW()-4&lt;=参数!$B$8,ROW()-4,"")</f>
        <v/>
      </c>
      <c r="B22" s="14" t="str">
        <f>IF($A22="","",IF($A22=1,参数!$B$6,C21))</f>
        <v/>
      </c>
      <c r="C22" s="14" t="str">
        <f>IF($A22="","",参数!$B$6*(参数!$B$7/参数!$B$6)^($A22/参数!$B$8))</f>
        <v/>
      </c>
      <c r="D22" s="14" t="str">
        <f>IF($A22="","",B22*(1+参数!$B$14))</f>
        <v/>
      </c>
      <c r="E22" s="14" t="str">
        <f>IF($A22="","",C22*(1-参数!$B$14))</f>
        <v/>
      </c>
      <c r="F22" s="14" t="str">
        <f>IF($A22="","",IF($A22=1,参数!$B$5,M21))</f>
        <v/>
      </c>
      <c r="G22" s="14" t="str">
        <f>IF($A22="","",F22*参数!$B$9)</f>
        <v/>
      </c>
      <c r="H22" s="16" t="str">
        <f t="shared" si="0"/>
        <v/>
      </c>
      <c r="I22" s="18" t="str">
        <f>IF($A22="","",G22*参数!$B$13)</f>
        <v/>
      </c>
      <c r="J22" s="18" t="str">
        <f>IF($A22="","",G22*参数!$B$15*参数!$B$16)</f>
        <v/>
      </c>
      <c r="K22" s="18" t="str">
        <f t="shared" si="1"/>
        <v/>
      </c>
      <c r="L22" s="18" t="str">
        <f>IF($A22="","",H22*E22*参数!$B$13)</f>
        <v/>
      </c>
      <c r="M22" s="18" t="str">
        <f t="shared" si="2"/>
        <v/>
      </c>
      <c r="N22" s="19" t="str">
        <f t="shared" si="3"/>
        <v/>
      </c>
      <c r="O22" s="14" t="str">
        <f>IF($A22="","",D22*(1-1/参数!$B$9)/(1-参数!$B$11-参数!$B$12))</f>
        <v/>
      </c>
      <c r="P22" s="14" t="str">
        <f>IF($A22="","",B22*(1-参数!$B$17))</f>
        <v/>
      </c>
      <c r="Q22" s="20" t="str">
        <f t="shared" si="4"/>
        <v/>
      </c>
      <c r="R22" s="12" t="str">
        <f t="shared" si="5"/>
        <v/>
      </c>
      <c r="S22" s="5"/>
      <c r="T22" s="5"/>
    </row>
    <row r="23" spans="1:20" ht="20" customHeight="1">
      <c r="A23" s="12" t="str">
        <f>IF(ROW()-4&lt;=参数!$B$8,ROW()-4,"")</f>
        <v/>
      </c>
      <c r="B23" s="14" t="str">
        <f>IF($A23="","",IF($A23=1,参数!$B$6,C22))</f>
        <v/>
      </c>
      <c r="C23" s="14" t="str">
        <f>IF($A23="","",参数!$B$6*(参数!$B$7/参数!$B$6)^($A23/参数!$B$8))</f>
        <v/>
      </c>
      <c r="D23" s="14" t="str">
        <f>IF($A23="","",B23*(1+参数!$B$14))</f>
        <v/>
      </c>
      <c r="E23" s="14" t="str">
        <f>IF($A23="","",C23*(1-参数!$B$14))</f>
        <v/>
      </c>
      <c r="F23" s="14" t="str">
        <f>IF($A23="","",IF($A23=1,参数!$B$5,M22))</f>
        <v/>
      </c>
      <c r="G23" s="14" t="str">
        <f>IF($A23="","",F23*参数!$B$9)</f>
        <v/>
      </c>
      <c r="H23" s="16" t="str">
        <f t="shared" si="0"/>
        <v/>
      </c>
      <c r="I23" s="18" t="str">
        <f>IF($A23="","",G23*参数!$B$13)</f>
        <v/>
      </c>
      <c r="J23" s="18" t="str">
        <f>IF($A23="","",G23*参数!$B$15*参数!$B$16)</f>
        <v/>
      </c>
      <c r="K23" s="18" t="str">
        <f t="shared" si="1"/>
        <v/>
      </c>
      <c r="L23" s="18" t="str">
        <f>IF($A23="","",H23*E23*参数!$B$13)</f>
        <v/>
      </c>
      <c r="M23" s="18" t="str">
        <f t="shared" si="2"/>
        <v/>
      </c>
      <c r="N23" s="19" t="str">
        <f t="shared" si="3"/>
        <v/>
      </c>
      <c r="O23" s="14" t="str">
        <f>IF($A23="","",D23*(1-1/参数!$B$9)/(1-参数!$B$11-参数!$B$12))</f>
        <v/>
      </c>
      <c r="P23" s="14" t="str">
        <f>IF($A23="","",B23*(1-参数!$B$17))</f>
        <v/>
      </c>
      <c r="Q23" s="20" t="str">
        <f t="shared" si="4"/>
        <v/>
      </c>
      <c r="R23" s="12" t="str">
        <f t="shared" si="5"/>
        <v/>
      </c>
      <c r="S23" s="5"/>
      <c r="T23" s="5"/>
    </row>
    <row r="24" spans="1:20" ht="20" customHeight="1">
      <c r="A24" s="12" t="str">
        <f>IF(ROW()-4&lt;=参数!$B$8,ROW()-4,"")</f>
        <v/>
      </c>
      <c r="B24" s="14" t="str">
        <f>IF($A24="","",IF($A24=1,参数!$B$6,C23))</f>
        <v/>
      </c>
      <c r="C24" s="14" t="str">
        <f>IF($A24="","",参数!$B$6*(参数!$B$7/参数!$B$6)^($A24/参数!$B$8))</f>
        <v/>
      </c>
      <c r="D24" s="14" t="str">
        <f>IF($A24="","",B24*(1+参数!$B$14))</f>
        <v/>
      </c>
      <c r="E24" s="14" t="str">
        <f>IF($A24="","",C24*(1-参数!$B$14))</f>
        <v/>
      </c>
      <c r="F24" s="14" t="str">
        <f>IF($A24="","",IF($A24=1,参数!$B$5,M23))</f>
        <v/>
      </c>
      <c r="G24" s="14" t="str">
        <f>IF($A24="","",F24*参数!$B$9)</f>
        <v/>
      </c>
      <c r="H24" s="16" t="str">
        <f t="shared" si="0"/>
        <v/>
      </c>
      <c r="I24" s="18" t="str">
        <f>IF($A24="","",G24*参数!$B$13)</f>
        <v/>
      </c>
      <c r="J24" s="18" t="str">
        <f>IF($A24="","",G24*参数!$B$15*参数!$B$16)</f>
        <v/>
      </c>
      <c r="K24" s="18" t="str">
        <f t="shared" si="1"/>
        <v/>
      </c>
      <c r="L24" s="18" t="str">
        <f>IF($A24="","",H24*E24*参数!$B$13)</f>
        <v/>
      </c>
      <c r="M24" s="18" t="str">
        <f t="shared" si="2"/>
        <v/>
      </c>
      <c r="N24" s="19" t="str">
        <f t="shared" si="3"/>
        <v/>
      </c>
      <c r="O24" s="14" t="str">
        <f>IF($A24="","",D24*(1-1/参数!$B$9)/(1-参数!$B$11-参数!$B$12))</f>
        <v/>
      </c>
      <c r="P24" s="14" t="str">
        <f>IF($A24="","",B24*(1-参数!$B$17))</f>
        <v/>
      </c>
      <c r="Q24" s="20" t="str">
        <f t="shared" si="4"/>
        <v/>
      </c>
      <c r="R24" s="12" t="str">
        <f t="shared" si="5"/>
        <v/>
      </c>
      <c r="S24" s="5"/>
      <c r="T24" s="5"/>
    </row>
    <row r="25" spans="1:20" ht="20" customHeight="1">
      <c r="A25" s="12" t="str">
        <f>IF(ROW()-4&lt;=参数!$B$8,ROW()-4,"")</f>
        <v/>
      </c>
      <c r="B25" s="14" t="str">
        <f>IF($A25="","",IF($A25=1,参数!$B$6,C24))</f>
        <v/>
      </c>
      <c r="C25" s="14" t="str">
        <f>IF($A25="","",参数!$B$6*(参数!$B$7/参数!$B$6)^($A25/参数!$B$8))</f>
        <v/>
      </c>
      <c r="D25" s="14" t="str">
        <f>IF($A25="","",B25*(1+参数!$B$14))</f>
        <v/>
      </c>
      <c r="E25" s="14" t="str">
        <f>IF($A25="","",C25*(1-参数!$B$14))</f>
        <v/>
      </c>
      <c r="F25" s="14" t="str">
        <f>IF($A25="","",IF($A25=1,参数!$B$5,M24))</f>
        <v/>
      </c>
      <c r="G25" s="14" t="str">
        <f>IF($A25="","",F25*参数!$B$9)</f>
        <v/>
      </c>
      <c r="H25" s="16" t="str">
        <f t="shared" si="0"/>
        <v/>
      </c>
      <c r="I25" s="18" t="str">
        <f>IF($A25="","",G25*参数!$B$13)</f>
        <v/>
      </c>
      <c r="J25" s="18" t="str">
        <f>IF($A25="","",G25*参数!$B$15*参数!$B$16)</f>
        <v/>
      </c>
      <c r="K25" s="18" t="str">
        <f t="shared" si="1"/>
        <v/>
      </c>
      <c r="L25" s="18" t="str">
        <f>IF($A25="","",H25*E25*参数!$B$13)</f>
        <v/>
      </c>
      <c r="M25" s="18" t="str">
        <f t="shared" si="2"/>
        <v/>
      </c>
      <c r="N25" s="19" t="str">
        <f t="shared" si="3"/>
        <v/>
      </c>
      <c r="O25" s="14" t="str">
        <f>IF($A25="","",D25*(1-1/参数!$B$9)/(1-参数!$B$11-参数!$B$12))</f>
        <v/>
      </c>
      <c r="P25" s="14" t="str">
        <f>IF($A25="","",B25*(1-参数!$B$17))</f>
        <v/>
      </c>
      <c r="Q25" s="20" t="str">
        <f t="shared" si="4"/>
        <v/>
      </c>
      <c r="R25" s="12" t="str">
        <f t="shared" si="5"/>
        <v/>
      </c>
      <c r="S25" s="5"/>
      <c r="T25" s="5"/>
    </row>
    <row r="26" spans="1:20" ht="20" customHeight="1">
      <c r="A26" s="12" t="str">
        <f>IF(ROW()-4&lt;=参数!$B$8,ROW()-4,"")</f>
        <v/>
      </c>
      <c r="B26" s="14" t="str">
        <f>IF($A26="","",IF($A26=1,参数!$B$6,C25))</f>
        <v/>
      </c>
      <c r="C26" s="14" t="str">
        <f>IF($A26="","",参数!$B$6*(参数!$B$7/参数!$B$6)^($A26/参数!$B$8))</f>
        <v/>
      </c>
      <c r="D26" s="14" t="str">
        <f>IF($A26="","",B26*(1+参数!$B$14))</f>
        <v/>
      </c>
      <c r="E26" s="14" t="str">
        <f>IF($A26="","",C26*(1-参数!$B$14))</f>
        <v/>
      </c>
      <c r="F26" s="14" t="str">
        <f>IF($A26="","",IF($A26=1,参数!$B$5,M25))</f>
        <v/>
      </c>
      <c r="G26" s="14" t="str">
        <f>IF($A26="","",F26*参数!$B$9)</f>
        <v/>
      </c>
      <c r="H26" s="16" t="str">
        <f t="shared" si="0"/>
        <v/>
      </c>
      <c r="I26" s="18" t="str">
        <f>IF($A26="","",G26*参数!$B$13)</f>
        <v/>
      </c>
      <c r="J26" s="18" t="str">
        <f>IF($A26="","",G26*参数!$B$15*参数!$B$16)</f>
        <v/>
      </c>
      <c r="K26" s="18" t="str">
        <f t="shared" si="1"/>
        <v/>
      </c>
      <c r="L26" s="18" t="str">
        <f>IF($A26="","",H26*E26*参数!$B$13)</f>
        <v/>
      </c>
      <c r="M26" s="18" t="str">
        <f t="shared" si="2"/>
        <v/>
      </c>
      <c r="N26" s="19" t="str">
        <f t="shared" si="3"/>
        <v/>
      </c>
      <c r="O26" s="14" t="str">
        <f>IF($A26="","",D26*(1-1/参数!$B$9)/(1-参数!$B$11-参数!$B$12))</f>
        <v/>
      </c>
      <c r="P26" s="14" t="str">
        <f>IF($A26="","",B26*(1-参数!$B$17))</f>
        <v/>
      </c>
      <c r="Q26" s="20" t="str">
        <f t="shared" si="4"/>
        <v/>
      </c>
      <c r="R26" s="12" t="str">
        <f t="shared" si="5"/>
        <v/>
      </c>
      <c r="S26" s="5"/>
      <c r="T26" s="5"/>
    </row>
    <row r="27" spans="1:20" ht="20" customHeight="1">
      <c r="A27" s="12" t="str">
        <f>IF(ROW()-4&lt;=参数!$B$8,ROW()-4,"")</f>
        <v/>
      </c>
      <c r="B27" s="14" t="str">
        <f>IF($A27="","",IF($A27=1,参数!$B$6,C26))</f>
        <v/>
      </c>
      <c r="C27" s="14" t="str">
        <f>IF($A27="","",参数!$B$6*(参数!$B$7/参数!$B$6)^($A27/参数!$B$8))</f>
        <v/>
      </c>
      <c r="D27" s="14" t="str">
        <f>IF($A27="","",B27*(1+参数!$B$14))</f>
        <v/>
      </c>
      <c r="E27" s="14" t="str">
        <f>IF($A27="","",C27*(1-参数!$B$14))</f>
        <v/>
      </c>
      <c r="F27" s="14" t="str">
        <f>IF($A27="","",IF($A27=1,参数!$B$5,M26))</f>
        <v/>
      </c>
      <c r="G27" s="14" t="str">
        <f>IF($A27="","",F27*参数!$B$9)</f>
        <v/>
      </c>
      <c r="H27" s="16" t="str">
        <f t="shared" si="0"/>
        <v/>
      </c>
      <c r="I27" s="18" t="str">
        <f>IF($A27="","",G27*参数!$B$13)</f>
        <v/>
      </c>
      <c r="J27" s="18" t="str">
        <f>IF($A27="","",G27*参数!$B$15*参数!$B$16)</f>
        <v/>
      </c>
      <c r="K27" s="18" t="str">
        <f t="shared" si="1"/>
        <v/>
      </c>
      <c r="L27" s="18" t="str">
        <f>IF($A27="","",H27*E27*参数!$B$13)</f>
        <v/>
      </c>
      <c r="M27" s="18" t="str">
        <f t="shared" si="2"/>
        <v/>
      </c>
      <c r="N27" s="19" t="str">
        <f t="shared" si="3"/>
        <v/>
      </c>
      <c r="O27" s="14" t="str">
        <f>IF($A27="","",D27*(1-1/参数!$B$9)/(1-参数!$B$11-参数!$B$12))</f>
        <v/>
      </c>
      <c r="P27" s="14" t="str">
        <f>IF($A27="","",B27*(1-参数!$B$17))</f>
        <v/>
      </c>
      <c r="Q27" s="20" t="str">
        <f t="shared" si="4"/>
        <v/>
      </c>
      <c r="R27" s="12" t="str">
        <f t="shared" si="5"/>
        <v/>
      </c>
      <c r="S27" s="5"/>
      <c r="T27" s="5"/>
    </row>
    <row r="28" spans="1:20" ht="20" customHeight="1">
      <c r="A28" s="12" t="str">
        <f>IF(ROW()-4&lt;=参数!$B$8,ROW()-4,"")</f>
        <v/>
      </c>
      <c r="B28" s="14" t="str">
        <f>IF($A28="","",IF($A28=1,参数!$B$6,C27))</f>
        <v/>
      </c>
      <c r="C28" s="14" t="str">
        <f>IF($A28="","",参数!$B$6*(参数!$B$7/参数!$B$6)^($A28/参数!$B$8))</f>
        <v/>
      </c>
      <c r="D28" s="14" t="str">
        <f>IF($A28="","",B28*(1+参数!$B$14))</f>
        <v/>
      </c>
      <c r="E28" s="14" t="str">
        <f>IF($A28="","",C28*(1-参数!$B$14))</f>
        <v/>
      </c>
      <c r="F28" s="14" t="str">
        <f>IF($A28="","",IF($A28=1,参数!$B$5,M27))</f>
        <v/>
      </c>
      <c r="G28" s="14" t="str">
        <f>IF($A28="","",F28*参数!$B$9)</f>
        <v/>
      </c>
      <c r="H28" s="16" t="str">
        <f t="shared" si="0"/>
        <v/>
      </c>
      <c r="I28" s="18" t="str">
        <f>IF($A28="","",G28*参数!$B$13)</f>
        <v/>
      </c>
      <c r="J28" s="18" t="str">
        <f>IF($A28="","",G28*参数!$B$15*参数!$B$16)</f>
        <v/>
      </c>
      <c r="K28" s="18" t="str">
        <f t="shared" si="1"/>
        <v/>
      </c>
      <c r="L28" s="18" t="str">
        <f>IF($A28="","",H28*E28*参数!$B$13)</f>
        <v/>
      </c>
      <c r="M28" s="18" t="str">
        <f t="shared" si="2"/>
        <v/>
      </c>
      <c r="N28" s="19" t="str">
        <f t="shared" si="3"/>
        <v/>
      </c>
      <c r="O28" s="14" t="str">
        <f>IF($A28="","",D28*(1-1/参数!$B$9)/(1-参数!$B$11-参数!$B$12))</f>
        <v/>
      </c>
      <c r="P28" s="14" t="str">
        <f>IF($A28="","",B28*(1-参数!$B$17))</f>
        <v/>
      </c>
      <c r="Q28" s="20" t="str">
        <f t="shared" si="4"/>
        <v/>
      </c>
      <c r="R28" s="12" t="str">
        <f t="shared" si="5"/>
        <v/>
      </c>
      <c r="S28" s="5"/>
      <c r="T28" s="5"/>
    </row>
    <row r="29" spans="1:20" ht="2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2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2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2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mergeCells count="2">
    <mergeCell ref="A1:J1"/>
    <mergeCell ref="A2:J2"/>
  </mergeCells>
  <conditionalFormatting sqref="R5:R28">
    <cfRule type="containsText" dxfId="9" priority="1" operator="containsText" text="OK"/>
    <cfRule type="containsText" dxfId="8" priority="2" operator="containsText" text="强平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0"/>
  <sheetViews>
    <sheetView workbookViewId="0">
      <pane ySplit="4" topLeftCell="A5" activePane="bottomLeft" state="frozen"/>
      <selection pane="bottomLeft" sqref="A1:J1"/>
    </sheetView>
  </sheetViews>
  <sheetFormatPr baseColWidth="10" defaultColWidth="8.83203125" defaultRowHeight="15"/>
  <cols>
    <col min="1" max="1" width="8" customWidth="1"/>
    <col min="2" max="17" width="11" customWidth="1"/>
    <col min="18" max="18" width="10" customWidth="1"/>
    <col min="19" max="19" width="11" customWidth="1"/>
    <col min="20" max="20" width="10" customWidth="1"/>
  </cols>
  <sheetData>
    <row r="1" spans="1:20" ht="20" customHeight="1">
      <c r="A1" s="66" t="s">
        <v>140</v>
      </c>
      <c r="B1" s="61"/>
      <c r="C1" s="61"/>
      <c r="D1" s="61"/>
      <c r="E1" s="61"/>
      <c r="F1" s="61"/>
      <c r="G1" s="61"/>
      <c r="H1" s="61"/>
      <c r="I1" s="61"/>
      <c r="J1" s="61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0" customHeight="1">
      <c r="A2" s="70" t="s">
        <v>141</v>
      </c>
      <c r="B2" s="61"/>
      <c r="C2" s="61"/>
      <c r="D2" s="61"/>
      <c r="E2" s="61"/>
      <c r="F2" s="61"/>
      <c r="G2" s="61"/>
      <c r="H2" s="61"/>
      <c r="I2" s="61"/>
      <c r="J2" s="61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20" customHeight="1">
      <c r="A4" s="4" t="s">
        <v>49</v>
      </c>
      <c r="B4" s="4" t="s">
        <v>123</v>
      </c>
      <c r="C4" s="4" t="s">
        <v>124</v>
      </c>
      <c r="D4" s="4" t="s">
        <v>125</v>
      </c>
      <c r="E4" s="4" t="s">
        <v>126</v>
      </c>
      <c r="F4" s="4" t="s">
        <v>142</v>
      </c>
      <c r="G4" s="4" t="s">
        <v>143</v>
      </c>
      <c r="H4" s="4" t="s">
        <v>144</v>
      </c>
      <c r="I4" s="4" t="s">
        <v>145</v>
      </c>
      <c r="J4" s="4" t="s">
        <v>146</v>
      </c>
      <c r="K4" s="4" t="s">
        <v>147</v>
      </c>
      <c r="L4" s="4" t="s">
        <v>148</v>
      </c>
      <c r="M4" s="4" t="s">
        <v>149</v>
      </c>
      <c r="N4" s="4" t="s">
        <v>150</v>
      </c>
      <c r="O4" s="4" t="s">
        <v>151</v>
      </c>
      <c r="P4" s="4" t="s">
        <v>135</v>
      </c>
      <c r="Q4" s="4" t="s">
        <v>136</v>
      </c>
      <c r="R4" s="4" t="s">
        <v>137</v>
      </c>
      <c r="S4" s="4" t="s">
        <v>138</v>
      </c>
      <c r="T4" s="4" t="s">
        <v>139</v>
      </c>
    </row>
    <row r="5" spans="1:20" ht="20" customHeight="1">
      <c r="A5" s="12">
        <f>IF(ROW()-4&lt;=参数!$B$8,ROW()-4,"")</f>
        <v>1</v>
      </c>
      <c r="B5" s="14">
        <f>IF($A5="","",IF($A5=1,参数!$B$6,C4))</f>
        <v>1.5</v>
      </c>
      <c r="C5" s="14">
        <f>IF($A5="","",参数!$B$6*(参数!$B$7/参数!$B$6)^($A5/参数!$B$8))</f>
        <v>1.9720684573832918</v>
      </c>
      <c r="D5" s="14">
        <f>IF($A5="","",B5*(1+参数!$B$14))</f>
        <v>1.5014999999999998</v>
      </c>
      <c r="E5" s="14">
        <f>IF($A5="","",C5*(1-参数!$B$14))</f>
        <v>1.9700963889259084</v>
      </c>
      <c r="F5" s="21">
        <f>IF($A5="","",IF($A5=1,参数!$B$5/参数!$B$6,N4))</f>
        <v>6666.666666666667</v>
      </c>
      <c r="G5" s="17">
        <f t="shared" ref="G5:G28" si="0">IF($A5="","",F5*B5)</f>
        <v>10000</v>
      </c>
      <c r="H5" s="17">
        <f>IF($A5="","",G5*参数!$B$9)</f>
        <v>25000</v>
      </c>
      <c r="I5" s="22">
        <f>IF($A5="","",H5/参数!$B$18)</f>
        <v>25000</v>
      </c>
      <c r="J5" s="21">
        <f>IF($A5="","",H5*参数!$B$13/D5)</f>
        <v>9.9900099900099892</v>
      </c>
      <c r="K5" s="21">
        <f>IF($A5="","",H5*参数!$B$15*参数!$B$16/((D5+E5)/2))</f>
        <v>4.3207787771207222</v>
      </c>
      <c r="L5" s="21">
        <f t="shared" ref="L5:L28" si="1">IF($A5="","",H5*(1/D5-1/E5))</f>
        <v>3960.2822083277674</v>
      </c>
      <c r="M5" s="21">
        <f>IF($A5="","",H5*参数!$B$13/E5)</f>
        <v>7.6138406650133295</v>
      </c>
      <c r="N5" s="21">
        <f t="shared" ref="N5:N28" si="2">IF($A5="","",MAX(0,F5+L5-J5-K5-M5))</f>
        <v>10605.02424556229</v>
      </c>
      <c r="O5" s="17">
        <f t="shared" ref="O5:O28" si="3">IF($A5="","",N5*C5)</f>
        <v>20913.833804458434</v>
      </c>
      <c r="P5" s="19">
        <f t="shared" ref="P5:P28" si="4">IF($A5="","",O5/G5)</f>
        <v>2.0913833804458433</v>
      </c>
      <c r="Q5" s="14">
        <f>IF($A5="","",H5*(1+参数!$B$11+参数!$B$12)/(F5+H5/D5))</f>
        <v>1.0807712082262209</v>
      </c>
      <c r="R5" s="14">
        <f>IF($A5="","",B5*(1-参数!$B$17))</f>
        <v>1.2000000000000002</v>
      </c>
      <c r="S5" s="20">
        <f t="shared" ref="S5:S28" si="5">IF($A5="","",R5/Q5-1)</f>
        <v>0.11031825317539634</v>
      </c>
      <c r="T5" s="12" t="str">
        <f t="shared" ref="T5:T28" si="6">IF($A5="","",IF(R5&lt;=Q5,"插针触发强平","OK"))</f>
        <v>OK</v>
      </c>
    </row>
    <row r="6" spans="1:20" ht="20" customHeight="1">
      <c r="A6" s="12">
        <f>IF(ROW()-4&lt;=参数!$B$8,ROW()-4,"")</f>
        <v>2</v>
      </c>
      <c r="B6" s="14">
        <f>IF($A6="","",IF($A6=1,参数!$B$6,C5))</f>
        <v>1.9720684573832918</v>
      </c>
      <c r="C6" s="14">
        <f>IF($A6="","",参数!$B$6*(参数!$B$7/参数!$B$6)^($A6/参数!$B$8))</f>
        <v>2.5927026670707436</v>
      </c>
      <c r="D6" s="14">
        <f>IF($A6="","",B6*(1+参数!$B$14))</f>
        <v>1.974040525840675</v>
      </c>
      <c r="E6" s="14">
        <f>IF($A6="","",C6*(1-参数!$B$14))</f>
        <v>2.5901099644036729</v>
      </c>
      <c r="F6" s="21">
        <f>IF($A6="","",IF($A6=1,参数!$B$5/参数!$B$6,N5))</f>
        <v>10605.02424556229</v>
      </c>
      <c r="G6" s="17">
        <f t="shared" si="0"/>
        <v>20913.833804458434</v>
      </c>
      <c r="H6" s="17">
        <f>IF($A6="","",G6*参数!$B$9)</f>
        <v>52284.584511146088</v>
      </c>
      <c r="I6" s="22">
        <f>IF($A6="","",H6/参数!$B$18)</f>
        <v>52284.584511146088</v>
      </c>
      <c r="J6" s="21">
        <f>IF($A6="","",H6*参数!$B$13/D6)</f>
        <v>15.891644723619814</v>
      </c>
      <c r="K6" s="21">
        <f>IF($A6="","",H6*参数!$B$15*参数!$B$16/((D6+E6)/2))</f>
        <v>6.8732945536614363</v>
      </c>
      <c r="L6" s="21">
        <f t="shared" si="1"/>
        <v>6299.8333257877348</v>
      </c>
      <c r="M6" s="21">
        <f>IF($A6="","",H6*参数!$B$13/E6)</f>
        <v>12.111744728147173</v>
      </c>
      <c r="N6" s="21">
        <f t="shared" si="2"/>
        <v>16869.980887344598</v>
      </c>
      <c r="O6" s="17">
        <f t="shared" si="3"/>
        <v>43738.844440050809</v>
      </c>
      <c r="P6" s="19">
        <f t="shared" si="4"/>
        <v>2.0913833804458424</v>
      </c>
      <c r="Q6" s="14">
        <f>IF($A6="","",H6*(1+参数!$B$11+参数!$B$12)/(F6+H6/D6))</f>
        <v>1.4209032062606399</v>
      </c>
      <c r="R6" s="14">
        <f>IF($A6="","",B6*(1-参数!$B$17))</f>
        <v>1.5776547659066336</v>
      </c>
      <c r="S6" s="20">
        <f t="shared" si="5"/>
        <v>0.11031825317539634</v>
      </c>
      <c r="T6" s="12" t="str">
        <f t="shared" si="6"/>
        <v>OK</v>
      </c>
    </row>
    <row r="7" spans="1:20" ht="20" customHeight="1">
      <c r="A7" s="12">
        <f>IF(ROW()-4&lt;=参数!$B$8,ROW()-4,"")</f>
        <v>3</v>
      </c>
      <c r="B7" s="14">
        <f>IF($A7="","",IF($A7=1,参数!$B$6,C6))</f>
        <v>2.5927026670707436</v>
      </c>
      <c r="C7" s="14">
        <f>IF($A7="","",参数!$B$6*(参数!$B$7/参数!$B$6)^($A7/参数!$B$8))</f>
        <v>3.4086580994024978</v>
      </c>
      <c r="D7" s="14">
        <f>IF($A7="","",B7*(1+参数!$B$14))</f>
        <v>2.5952953697378143</v>
      </c>
      <c r="E7" s="14">
        <f>IF($A7="","",C7*(1-参数!$B$14))</f>
        <v>3.4052494413030954</v>
      </c>
      <c r="F7" s="21">
        <f>IF($A7="","",IF($A7=1,参数!$B$5/参数!$B$6,N6))</f>
        <v>16869.980887344598</v>
      </c>
      <c r="G7" s="17">
        <f t="shared" si="0"/>
        <v>43738.844440050809</v>
      </c>
      <c r="H7" s="17">
        <f>IF($A7="","",G7*参数!$B$9)</f>
        <v>109347.11110012702</v>
      </c>
      <c r="I7" s="22">
        <f>IF($A7="","",H7/参数!$B$18)</f>
        <v>109347.11110012702</v>
      </c>
      <c r="J7" s="21">
        <f>IF($A7="","",H7*参数!$B$13/D7)</f>
        <v>25.279691639377518</v>
      </c>
      <c r="K7" s="21">
        <f>IF($A7="","",H7*参数!$B$15*参数!$B$16/((D7+E7)/2))</f>
        <v>10.933718308270613</v>
      </c>
      <c r="L7" s="21">
        <f t="shared" si="1"/>
        <v>10021.482774447039</v>
      </c>
      <c r="M7" s="21">
        <f>IF($A7="","",H7*参数!$B$13/E7)</f>
        <v>19.266801974709299</v>
      </c>
      <c r="N7" s="21">
        <f t="shared" si="2"/>
        <v>26835.983449869276</v>
      </c>
      <c r="O7" s="17">
        <f t="shared" si="3"/>
        <v>91474.692341828297</v>
      </c>
      <c r="P7" s="19">
        <f t="shared" si="4"/>
        <v>2.0913833804458424</v>
      </c>
      <c r="Q7" s="14">
        <f>IF($A7="","",H7*(1+参数!$B$11+参数!$B$12)/(F7+H7/D7))</f>
        <v>1.8680789293742617</v>
      </c>
      <c r="R7" s="14">
        <f>IF($A7="","",B7*(1-参数!$B$17))</f>
        <v>2.074162133656595</v>
      </c>
      <c r="S7" s="20">
        <f t="shared" si="5"/>
        <v>0.11031825317539634</v>
      </c>
      <c r="T7" s="12" t="str">
        <f t="shared" si="6"/>
        <v>OK</v>
      </c>
    </row>
    <row r="8" spans="1:20" ht="20" customHeight="1">
      <c r="A8" s="12">
        <f>IF(ROW()-4&lt;=参数!$B$8,ROW()-4,"")</f>
        <v>4</v>
      </c>
      <c r="B8" s="14">
        <f>IF($A8="","",IF($A8=1,参数!$B$6,C7))</f>
        <v>3.4086580994024978</v>
      </c>
      <c r="C8" s="14">
        <f>IF($A8="","",参数!$B$6*(参数!$B$7/参数!$B$6)^($A8/参数!$B$8))</f>
        <v>4.4814047465571649</v>
      </c>
      <c r="D8" s="14">
        <f>IF($A8="","",B8*(1+参数!$B$14))</f>
        <v>3.4120667575018997</v>
      </c>
      <c r="E8" s="14">
        <f>IF($A8="","",C8*(1-参数!$B$14))</f>
        <v>4.4769233418106076</v>
      </c>
      <c r="F8" s="21">
        <f>IF($A8="","",IF($A8=1,参数!$B$5/参数!$B$6,N7))</f>
        <v>26835.983449869276</v>
      </c>
      <c r="G8" s="17">
        <f t="shared" si="0"/>
        <v>91474.692341828297</v>
      </c>
      <c r="H8" s="17">
        <f>IF($A8="","",G8*参数!$B$9)</f>
        <v>228686.73085457075</v>
      </c>
      <c r="I8" s="22">
        <f>IF($A8="","",H8/参数!$B$18)</f>
        <v>228686.73085457075</v>
      </c>
      <c r="J8" s="21">
        <f>IF($A8="","",H8*参数!$B$13/D8)</f>
        <v>40.213761413390529</v>
      </c>
      <c r="K8" s="21">
        <f>IF($A8="","",H8*参数!$B$15*参数!$B$16/((D8+E8)/2))</f>
        <v>17.392852163003717</v>
      </c>
      <c r="L8" s="21">
        <f t="shared" si="1"/>
        <v>15941.710169924367</v>
      </c>
      <c r="M8" s="21">
        <f>IF($A8="","",H8*参数!$B$13/E8)</f>
        <v>30.64873531143591</v>
      </c>
      <c r="N8" s="21">
        <f t="shared" si="2"/>
        <v>42689.438270905819</v>
      </c>
      <c r="O8" s="17">
        <f t="shared" si="3"/>
        <v>191308.65129509644</v>
      </c>
      <c r="P8" s="19">
        <f t="shared" si="4"/>
        <v>2.0913833804458442</v>
      </c>
      <c r="Q8" s="14">
        <f>IF($A8="","",H8*(1+参数!$B$11+参数!$B$12)/(F8+H8/D8))</f>
        <v>2.4559863550142209</v>
      </c>
      <c r="R8" s="14">
        <f>IF($A8="","",B8*(1-参数!$B$17))</f>
        <v>2.7269264795219983</v>
      </c>
      <c r="S8" s="20">
        <f t="shared" si="5"/>
        <v>0.11031825317539612</v>
      </c>
      <c r="T8" s="12" t="str">
        <f t="shared" si="6"/>
        <v>OK</v>
      </c>
    </row>
    <row r="9" spans="1:20" ht="20" customHeight="1">
      <c r="A9" s="12">
        <f>IF(ROW()-4&lt;=参数!$B$8,ROW()-4,"")</f>
        <v>5</v>
      </c>
      <c r="B9" s="14">
        <f>IF($A9="","",IF($A9=1,参数!$B$6,C8))</f>
        <v>4.4814047465571649</v>
      </c>
      <c r="C9" s="14">
        <f>IF($A9="","",参数!$B$6*(参数!$B$7/参数!$B$6)^($A9/参数!$B$8))</f>
        <v>5.8917579636354329</v>
      </c>
      <c r="D9" s="14">
        <f>IF($A9="","",B9*(1+参数!$B$14))</f>
        <v>4.4858861513037214</v>
      </c>
      <c r="E9" s="14">
        <f>IF($A9="","",C9*(1-参数!$B$14))</f>
        <v>5.8858662056717979</v>
      </c>
      <c r="F9" s="21">
        <f>IF($A9="","",IF($A9=1,参数!$B$5/参数!$B$6,N8))</f>
        <v>42689.438270905819</v>
      </c>
      <c r="G9" s="17">
        <f t="shared" si="0"/>
        <v>191308.65129509644</v>
      </c>
      <c r="H9" s="17">
        <f>IF($A9="","",G9*参数!$B$9)</f>
        <v>478271.62823774107</v>
      </c>
      <c r="I9" s="22">
        <f>IF($A9="","",H9/参数!$B$18)</f>
        <v>478271.62823774107</v>
      </c>
      <c r="J9" s="21">
        <f>IF($A9="","",H9*参数!$B$13/D9)</f>
        <v>63.970187219139596</v>
      </c>
      <c r="K9" s="21">
        <f>IF($A9="","",H9*参数!$B$15*参数!$B$16/((D9+E9)/2))</f>
        <v>27.667742833220249</v>
      </c>
      <c r="L9" s="21">
        <f t="shared" si="1"/>
        <v>25359.333430166218</v>
      </c>
      <c r="M9" s="21">
        <f>IF($A9="","",H9*参数!$B$13/E9)</f>
        <v>48.754587161039858</v>
      </c>
      <c r="N9" s="21">
        <f t="shared" si="2"/>
        <v>67908.379183858648</v>
      </c>
      <c r="O9" s="17">
        <f t="shared" si="3"/>
        <v>400099.73385407386</v>
      </c>
      <c r="P9" s="19">
        <f t="shared" si="4"/>
        <v>2.0913833804458433</v>
      </c>
      <c r="Q9" s="14">
        <f>IF($A9="","",H9*(1+参数!$B$11+参数!$B$12)/(F9+H9/D9))</f>
        <v>3.2289154816582051</v>
      </c>
      <c r="R9" s="14">
        <f>IF($A9="","",B9*(1-参数!$B$17))</f>
        <v>3.5851237972457319</v>
      </c>
      <c r="S9" s="20">
        <f t="shared" si="5"/>
        <v>0.11031825317539634</v>
      </c>
      <c r="T9" s="12" t="str">
        <f t="shared" si="6"/>
        <v>OK</v>
      </c>
    </row>
    <row r="10" spans="1:20" ht="20" customHeight="1">
      <c r="A10" s="12">
        <f>IF(ROW()-4&lt;=参数!$B$8,ROW()-4,"")</f>
        <v>6</v>
      </c>
      <c r="B10" s="14">
        <f>IF($A10="","",IF($A10=1,参数!$B$6,C9))</f>
        <v>5.8917579636354329</v>
      </c>
      <c r="C10" s="14">
        <f>IF($A10="","",参数!$B$6*(参数!$B$7/参数!$B$6)^($A10/参数!$B$8))</f>
        <v>7.745966692414834</v>
      </c>
      <c r="D10" s="14">
        <f>IF($A10="","",B10*(1+参数!$B$14))</f>
        <v>5.897649721599068</v>
      </c>
      <c r="E10" s="14">
        <f>IF($A10="","",C10*(1-参数!$B$14))</f>
        <v>7.7382207257224191</v>
      </c>
      <c r="F10" s="21">
        <f>IF($A10="","",IF($A10=1,参数!$B$5/参数!$B$6,N9))</f>
        <v>67908.379183858648</v>
      </c>
      <c r="G10" s="17">
        <f t="shared" si="0"/>
        <v>400099.73385407386</v>
      </c>
      <c r="H10" s="18">
        <f>IF($A10="","",G10*参数!$B$9)</f>
        <v>1000249.3346351846</v>
      </c>
      <c r="I10" s="23">
        <f>IF($A10="","",H10/参数!$B$18)</f>
        <v>1000249.3346351846</v>
      </c>
      <c r="J10" s="21">
        <f>IF($A10="","",H10*参数!$B$13/D10)</f>
        <v>101.76080796782016</v>
      </c>
      <c r="K10" s="21">
        <f>IF($A10="","",H10*参数!$B$15*参数!$B$16/((D10+E10)/2))</f>
        <v>44.012562534942468</v>
      </c>
      <c r="L10" s="21">
        <f t="shared" si="1"/>
        <v>40340.451881731649</v>
      </c>
      <c r="M10" s="21">
        <f>IF($A10="","",H10*参数!$B$13/E10)</f>
        <v>77.55653683878117</v>
      </c>
      <c r="N10" s="21">
        <f t="shared" si="2"/>
        <v>108025.50115824875</v>
      </c>
      <c r="O10" s="17">
        <f t="shared" si="3"/>
        <v>836761.93390321487</v>
      </c>
      <c r="P10" s="19">
        <f t="shared" si="4"/>
        <v>2.0913833804458424</v>
      </c>
      <c r="Q10" s="14">
        <f>IF($A10="","",H10*(1+参数!$B$11+参数!$B$12)/(F10+H10/D10))</f>
        <v>4.2450949152898163</v>
      </c>
      <c r="R10" s="14">
        <f>IF($A10="","",B10*(1-参数!$B$17))</f>
        <v>4.7134063709083467</v>
      </c>
      <c r="S10" s="20">
        <f t="shared" si="5"/>
        <v>0.11031825317539656</v>
      </c>
      <c r="T10" s="12" t="str">
        <f t="shared" si="6"/>
        <v>OK</v>
      </c>
    </row>
    <row r="11" spans="1:20" ht="20" customHeight="1">
      <c r="A11" s="12">
        <f>IF(ROW()-4&lt;=参数!$B$8,ROW()-4,"")</f>
        <v>7</v>
      </c>
      <c r="B11" s="14">
        <f>IF($A11="","",IF($A11=1,参数!$B$6,C10))</f>
        <v>7.745966692414834</v>
      </c>
      <c r="C11" s="14">
        <f>IF($A11="","",参数!$B$6*(参数!$B$7/参数!$B$6)^($A11/参数!$B$8))</f>
        <v>10.183717724035256</v>
      </c>
      <c r="D11" s="14">
        <f>IF($A11="","",B11*(1+参数!$B$14))</f>
        <v>7.7537126591072481</v>
      </c>
      <c r="E11" s="14">
        <f>IF($A11="","",C11*(1-参数!$B$14))</f>
        <v>10.173534006311222</v>
      </c>
      <c r="F11" s="21">
        <f>IF($A11="","",IF($A11=1,参数!$B$5/参数!$B$6,N10))</f>
        <v>108025.50115824875</v>
      </c>
      <c r="G11" s="17">
        <f t="shared" si="0"/>
        <v>836761.93390321487</v>
      </c>
      <c r="H11" s="18">
        <f>IF($A11="","",G11*参数!$B$9)</f>
        <v>2091904.8347580372</v>
      </c>
      <c r="I11" s="23">
        <f>IF($A11="","",H11/参数!$B$18)</f>
        <v>2091904.8347580372</v>
      </c>
      <c r="J11" s="21">
        <f>IF($A11="","",H11*参数!$B$13/D11)</f>
        <v>161.87637536201112</v>
      </c>
      <c r="K11" s="21">
        <f>IF($A11="","",H11*参数!$B$15*参数!$B$16/((D11+E11)/2))</f>
        <v>70.013143918858674</v>
      </c>
      <c r="L11" s="21">
        <f t="shared" si="1"/>
        <v>64171.720542405543</v>
      </c>
      <c r="M11" s="21">
        <f>IF($A11="","",H11*参数!$B$13/E11)</f>
        <v>123.3733430365678</v>
      </c>
      <c r="N11" s="21">
        <f t="shared" si="2"/>
        <v>171841.95883833687</v>
      </c>
      <c r="O11" s="17">
        <f t="shared" si="3"/>
        <v>1749990.001954908</v>
      </c>
      <c r="P11" s="19">
        <f t="shared" si="4"/>
        <v>2.0913833804458446</v>
      </c>
      <c r="Q11" s="14">
        <f>IF($A11="","",H11*(1+参数!$B$11+参数!$B$12)/(F11+H11/D11))</f>
        <v>5.5810785206941613</v>
      </c>
      <c r="R11" s="14">
        <f>IF($A11="","",B11*(1-参数!$B$17))</f>
        <v>6.1967733539318672</v>
      </c>
      <c r="S11" s="20">
        <f t="shared" si="5"/>
        <v>0.11031825317539656</v>
      </c>
      <c r="T11" s="12" t="str">
        <f t="shared" si="6"/>
        <v>OK</v>
      </c>
    </row>
    <row r="12" spans="1:20" ht="20" customHeight="1">
      <c r="A12" s="12">
        <f>IF(ROW()-4&lt;=参数!$B$8,ROW()-4,"")</f>
        <v>8</v>
      </c>
      <c r="B12" s="14">
        <f>IF($A12="","",IF($A12=1,参数!$B$6,C11))</f>
        <v>10.183717724035256</v>
      </c>
      <c r="C12" s="14">
        <f>IF($A12="","",参数!$B$6*(参数!$B$7/参数!$B$6)^($A12/参数!$B$8))</f>
        <v>13.388659001643394</v>
      </c>
      <c r="D12" s="14">
        <f>IF($A12="","",B12*(1+参数!$B$14))</f>
        <v>10.193901441759291</v>
      </c>
      <c r="E12" s="14">
        <f>IF($A12="","",C12*(1-参数!$B$14))</f>
        <v>13.37527034264175</v>
      </c>
      <c r="F12" s="21">
        <f>IF($A12="","",IF($A12=1,参数!$B$5/参数!$B$6,N11))</f>
        <v>171841.95883833687</v>
      </c>
      <c r="G12" s="17">
        <f t="shared" si="0"/>
        <v>1749990.001954908</v>
      </c>
      <c r="H12" s="18">
        <f>IF($A12="","",G12*参数!$B$9)</f>
        <v>4374975.0048872698</v>
      </c>
      <c r="I12" s="23">
        <f>IF($A12="","",H12/参数!$B$18)</f>
        <v>4374975.0048872698</v>
      </c>
      <c r="J12" s="21">
        <f>IF($A12="","",H12*参数!$B$13/D12)</f>
        <v>257.50543282468055</v>
      </c>
      <c r="K12" s="21">
        <f>IF($A12="","",H12*参数!$B$15*参数!$B$16/((D12+E12)/2))</f>
        <v>111.37366331513078</v>
      </c>
      <c r="L12" s="21">
        <f t="shared" si="1"/>
        <v>102081.39783474861</v>
      </c>
      <c r="M12" s="21">
        <f>IF($A12="","",H12*参数!$B$13/E12)</f>
        <v>196.25659412383143</v>
      </c>
      <c r="N12" s="21">
        <f t="shared" si="2"/>
        <v>273358.22098282183</v>
      </c>
      <c r="O12" s="17">
        <f t="shared" si="3"/>
        <v>3659900.0060348813</v>
      </c>
      <c r="P12" s="19">
        <f t="shared" si="4"/>
        <v>2.0913833804458419</v>
      </c>
      <c r="Q12" s="14">
        <f>IF($A12="","",H12*(1+参数!$B$11+参数!$B$12)/(F12+H12/D12))</f>
        <v>7.3375126058935756</v>
      </c>
      <c r="R12" s="14">
        <f>IF($A12="","",B12*(1-参数!$B$17))</f>
        <v>8.1469741792282058</v>
      </c>
      <c r="S12" s="20">
        <f t="shared" si="5"/>
        <v>0.11031825317539634</v>
      </c>
      <c r="T12" s="12" t="str">
        <f t="shared" si="6"/>
        <v>OK</v>
      </c>
    </row>
    <row r="13" spans="1:20" ht="20" customHeight="1">
      <c r="A13" s="12">
        <f>IF(ROW()-4&lt;=参数!$B$8,ROW()-4,"")</f>
        <v>9</v>
      </c>
      <c r="B13" s="14">
        <f>IF($A13="","",IF($A13=1,参数!$B$6,C12))</f>
        <v>13.388659001643394</v>
      </c>
      <c r="C13" s="14">
        <f>IF($A13="","",参数!$B$6*(参数!$B$7/参数!$B$6)^($A13/参数!$B$8))</f>
        <v>17.602234735867871</v>
      </c>
      <c r="D13" s="14">
        <f>IF($A13="","",B13*(1+参数!$B$14))</f>
        <v>13.402047660645035</v>
      </c>
      <c r="E13" s="14">
        <f>IF($A13="","",C13*(1-参数!$B$14))</f>
        <v>17.584632501132003</v>
      </c>
      <c r="F13" s="21">
        <f>IF($A13="","",IF($A13=1,参数!$B$5/参数!$B$6,N12))</f>
        <v>273358.22098282183</v>
      </c>
      <c r="G13" s="17">
        <f t="shared" si="0"/>
        <v>3659900.0060348813</v>
      </c>
      <c r="H13" s="18">
        <f>IF($A13="","",G13*参数!$B$9)</f>
        <v>9149750.0150872041</v>
      </c>
      <c r="I13" s="23">
        <f>IF($A13="","",H13/参数!$B$18)</f>
        <v>9149750.0150872041</v>
      </c>
      <c r="J13" s="21">
        <f>IF($A13="","",H13*参数!$B$13/D13)</f>
        <v>409.62770377046235</v>
      </c>
      <c r="K13" s="21">
        <f>IF($A13="","",H13*参数!$B$15*参数!$B$16/((D13+E13)/2))</f>
        <v>177.16805996610799</v>
      </c>
      <c r="L13" s="21">
        <f t="shared" si="1"/>
        <v>162386.35485875991</v>
      </c>
      <c r="M13" s="21">
        <f>IF($A13="","",H13*参数!$B$13/E13)</f>
        <v>312.19589085520641</v>
      </c>
      <c r="N13" s="21">
        <f t="shared" si="2"/>
        <v>434845.58418698993</v>
      </c>
      <c r="O13" s="17">
        <f t="shared" si="3"/>
        <v>7654254.0467149904</v>
      </c>
      <c r="P13" s="19">
        <f t="shared" si="4"/>
        <v>2.0913833804458428</v>
      </c>
      <c r="Q13" s="14">
        <f>IF($A13="","",H13*(1+参数!$B$11+参数!$B$12)/(F13+H13/D13))</f>
        <v>9.6467181104899975</v>
      </c>
      <c r="R13" s="14">
        <f>IF($A13="","",B13*(1-参数!$B$17))</f>
        <v>10.710927201314716</v>
      </c>
      <c r="S13" s="20">
        <f t="shared" si="5"/>
        <v>0.11031825317539656</v>
      </c>
      <c r="T13" s="12" t="str">
        <f t="shared" si="6"/>
        <v>OK</v>
      </c>
    </row>
    <row r="14" spans="1:20" ht="20" customHeight="1">
      <c r="A14" s="12">
        <f>IF(ROW()-4&lt;=参数!$B$8,ROW()-4,"")</f>
        <v>10</v>
      </c>
      <c r="B14" s="14">
        <f>IF($A14="","",IF($A14=1,参数!$B$6,C13))</f>
        <v>17.602234735867871</v>
      </c>
      <c r="C14" s="14">
        <f>IF($A14="","",参数!$B$6*(参数!$B$7/参数!$B$6)^($A14/参数!$B$8))</f>
        <v>23.141874601374361</v>
      </c>
      <c r="D14" s="14">
        <f>IF($A14="","",B14*(1+参数!$B$14))</f>
        <v>17.619836970603735</v>
      </c>
      <c r="E14" s="14">
        <f>IF($A14="","",C14*(1-参数!$B$14))</f>
        <v>23.118732726772986</v>
      </c>
      <c r="F14" s="21">
        <f>IF($A14="","",IF($A14=1,参数!$B$5/参数!$B$6,N13))</f>
        <v>434845.58418698993</v>
      </c>
      <c r="G14" s="17">
        <f t="shared" si="0"/>
        <v>7654254.0467149904</v>
      </c>
      <c r="H14" s="18">
        <f>IF($A14="","",G14*参数!$B$9)</f>
        <v>19135635.116787475</v>
      </c>
      <c r="I14" s="23">
        <f>IF($A14="","",H14/参数!$B$18)</f>
        <v>19135635.116787475</v>
      </c>
      <c r="J14" s="21">
        <f>IF($A14="","",H14*参数!$B$13/D14)</f>
        <v>651.61675952096391</v>
      </c>
      <c r="K14" s="21">
        <f>IF($A14="","",H14*参数!$B$15*参数!$B$16/((D14+E14)/2))</f>
        <v>281.83073572197128</v>
      </c>
      <c r="L14" s="21">
        <f t="shared" si="1"/>
        <v>258316.68456384452</v>
      </c>
      <c r="M14" s="21">
        <f>IF($A14="","",H14*参数!$B$13/E14)</f>
        <v>496.62674878265722</v>
      </c>
      <c r="N14" s="21">
        <f t="shared" si="2"/>
        <v>691732.19450680888</v>
      </c>
      <c r="O14" s="17">
        <f t="shared" si="3"/>
        <v>16007979.703010069</v>
      </c>
      <c r="P14" s="19">
        <f t="shared" si="4"/>
        <v>2.0913833804458428</v>
      </c>
      <c r="Q14" s="14">
        <f>IF($A14="","",H14*(1+参数!$B$11+参数!$B$12)/(F14+H14/D14))</f>
        <v>12.682659001976981</v>
      </c>
      <c r="R14" s="14">
        <f>IF($A14="","",B14*(1-参数!$B$17))</f>
        <v>14.081787788694298</v>
      </c>
      <c r="S14" s="20">
        <f t="shared" si="5"/>
        <v>0.11031825317539634</v>
      </c>
      <c r="T14" s="12" t="str">
        <f t="shared" si="6"/>
        <v>OK</v>
      </c>
    </row>
    <row r="15" spans="1:20" ht="20" customHeight="1">
      <c r="A15" s="12">
        <f>IF(ROW()-4&lt;=参数!$B$8,ROW()-4,"")</f>
        <v>11</v>
      </c>
      <c r="B15" s="14">
        <f>IF($A15="","",IF($A15=1,参数!$B$6,C14))</f>
        <v>23.141874601374361</v>
      </c>
      <c r="C15" s="14">
        <f>IF($A15="","",参数!$B$6*(参数!$B$7/参数!$B$6)^($A15/参数!$B$8))</f>
        <v>30.424907297393275</v>
      </c>
      <c r="D15" s="14">
        <f>IF($A15="","",B15*(1+参数!$B$14))</f>
        <v>23.165016475975733</v>
      </c>
      <c r="E15" s="14">
        <f>IF($A15="","",C15*(1-参数!$B$14))</f>
        <v>30.394482390095881</v>
      </c>
      <c r="F15" s="21">
        <f>IF($A15="","",IF($A15=1,参数!$B$5/参数!$B$6,N14))</f>
        <v>691732.19450680888</v>
      </c>
      <c r="G15" s="17">
        <f t="shared" si="0"/>
        <v>16007979.703010069</v>
      </c>
      <c r="H15" s="18">
        <f>IF($A15="","",G15*参数!$B$9)</f>
        <v>40019949.257525176</v>
      </c>
      <c r="I15" s="23">
        <f>IF($A15="","",H15/参数!$B$18)</f>
        <v>40019949.257525176</v>
      </c>
      <c r="J15" s="21">
        <f>IF($A15="","",H15*参数!$B$13/D15)</f>
        <v>1036.5617300301833</v>
      </c>
      <c r="K15" s="21">
        <f>IF($A15="","",H15*参数!$B$15*参数!$B$16/((D15+E15)/2))</f>
        <v>448.32326782142445</v>
      </c>
      <c r="L15" s="21">
        <f t="shared" si="1"/>
        <v>410918.20542492537</v>
      </c>
      <c r="M15" s="21">
        <f>IF($A15="","",H15*参数!$B$13/E15)</f>
        <v>790.01080677522793</v>
      </c>
      <c r="N15" s="21">
        <f t="shared" si="2"/>
        <v>1100375.5041271073</v>
      </c>
      <c r="O15" s="17">
        <f t="shared" si="3"/>
        <v>33478822.705389634</v>
      </c>
      <c r="P15" s="19">
        <f t="shared" si="4"/>
        <v>2.0913833804458424</v>
      </c>
      <c r="Q15" s="14">
        <f>IF($A15="","",H15*(1+参数!$B$11+参数!$B$12)/(F15+H15/D15))</f>
        <v>16.674047849031375</v>
      </c>
      <c r="R15" s="14">
        <f>IF($A15="","",B15*(1-参数!$B$17))</f>
        <v>18.513499681099489</v>
      </c>
      <c r="S15" s="20">
        <f t="shared" si="5"/>
        <v>0.11031825317539634</v>
      </c>
      <c r="T15" s="12" t="str">
        <f t="shared" si="6"/>
        <v>OK</v>
      </c>
    </row>
    <row r="16" spans="1:20" ht="20" customHeight="1">
      <c r="A16" s="12">
        <f>IF(ROW()-4&lt;=参数!$B$8,ROW()-4,"")</f>
        <v>12</v>
      </c>
      <c r="B16" s="14">
        <f>IF($A16="","",IF($A16=1,参数!$B$6,C15))</f>
        <v>30.424907297393275</v>
      </c>
      <c r="C16" s="14">
        <f>IF($A16="","",参数!$B$6*(参数!$B$7/参数!$B$6)^($A16/参数!$B$8))</f>
        <v>40</v>
      </c>
      <c r="D16" s="14">
        <f>IF($A16="","",B16*(1+参数!$B$14))</f>
        <v>30.455332204690666</v>
      </c>
      <c r="E16" s="14">
        <f>IF($A16="","",C16*(1-参数!$B$14))</f>
        <v>39.96</v>
      </c>
      <c r="F16" s="21">
        <f>IF($A16="","",IF($A16=1,参数!$B$5/参数!$B$6,N15))</f>
        <v>1100375.5041271073</v>
      </c>
      <c r="G16" s="17">
        <f t="shared" si="0"/>
        <v>33478822.705389634</v>
      </c>
      <c r="H16" s="18">
        <f>IF($A16="","",G16*参数!$B$9)</f>
        <v>83697056.763474077</v>
      </c>
      <c r="I16" s="23">
        <f>IF($A16="","",H16/参数!$B$18)</f>
        <v>83697056.763474077</v>
      </c>
      <c r="J16" s="21">
        <f>IF($A16="","",H16*参数!$B$13/D16)</f>
        <v>1648.914341848812</v>
      </c>
      <c r="K16" s="21">
        <f>IF($A16="","",H16*参数!$B$15*参数!$B$16/((D16+E16)/2))</f>
        <v>713.17186876438814</v>
      </c>
      <c r="L16" s="21">
        <f t="shared" si="1"/>
        <v>653669.629721142</v>
      </c>
      <c r="M16" s="21">
        <f>IF($A16="","",H16*参数!$B$13/E16)</f>
        <v>1256.7125640161271</v>
      </c>
      <c r="N16" s="21">
        <f t="shared" si="2"/>
        <v>1750426.3350736201</v>
      </c>
      <c r="O16" s="17">
        <f t="shared" si="3"/>
        <v>70017053.402944803</v>
      </c>
      <c r="P16" s="19">
        <f t="shared" si="4"/>
        <v>2.0913833804458428</v>
      </c>
      <c r="Q16" s="14">
        <f>IF($A16="","",H16*(1+参数!$B$11+参数!$B$12)/(F16+H16/D16))</f>
        <v>21.921575879982996</v>
      </c>
      <c r="R16" s="14">
        <f>IF($A16="","",B16*(1-参数!$B$17))</f>
        <v>24.33992583791462</v>
      </c>
      <c r="S16" s="20">
        <f t="shared" si="5"/>
        <v>0.11031825317539634</v>
      </c>
      <c r="T16" s="12" t="str">
        <f t="shared" si="6"/>
        <v>OK</v>
      </c>
    </row>
    <row r="17" spans="1:20" ht="20" customHeight="1">
      <c r="A17" s="12" t="str">
        <f>IF(ROW()-4&lt;=参数!$B$8,ROW()-4,"")</f>
        <v/>
      </c>
      <c r="B17" s="14" t="str">
        <f>IF($A17="","",IF($A17=1,参数!$B$6,C16))</f>
        <v/>
      </c>
      <c r="C17" s="14" t="str">
        <f>IF($A17="","",参数!$B$6*(参数!$B$7/参数!$B$6)^($A17/参数!$B$8))</f>
        <v/>
      </c>
      <c r="D17" s="14" t="str">
        <f>IF($A17="","",B17*(1+参数!$B$14))</f>
        <v/>
      </c>
      <c r="E17" s="14" t="str">
        <f>IF($A17="","",C17*(1-参数!$B$14))</f>
        <v/>
      </c>
      <c r="F17" s="21" t="str">
        <f>IF($A17="","",IF($A17=1,参数!$B$5/参数!$B$6,N16))</f>
        <v/>
      </c>
      <c r="G17" s="17" t="str">
        <f t="shared" si="0"/>
        <v/>
      </c>
      <c r="H17" s="18" t="str">
        <f>IF($A17="","",G17*参数!$B$9)</f>
        <v/>
      </c>
      <c r="I17" s="23" t="str">
        <f>IF($A17="","",H17/参数!$B$18)</f>
        <v/>
      </c>
      <c r="J17" s="21" t="str">
        <f>IF($A17="","",H17*参数!$B$13/D17)</f>
        <v/>
      </c>
      <c r="K17" s="21" t="str">
        <f>IF($A17="","",H17*参数!$B$15*参数!$B$16/((D17+E17)/2))</f>
        <v/>
      </c>
      <c r="L17" s="21" t="str">
        <f t="shared" si="1"/>
        <v/>
      </c>
      <c r="M17" s="21" t="str">
        <f>IF($A17="","",H17*参数!$B$13/E17)</f>
        <v/>
      </c>
      <c r="N17" s="21" t="str">
        <f t="shared" si="2"/>
        <v/>
      </c>
      <c r="O17" s="17" t="str">
        <f t="shared" si="3"/>
        <v/>
      </c>
      <c r="P17" s="19" t="str">
        <f t="shared" si="4"/>
        <v/>
      </c>
      <c r="Q17" s="14" t="str">
        <f>IF($A17="","",H17*(1+参数!$B$11+参数!$B$12)/(F17+H17/D17))</f>
        <v/>
      </c>
      <c r="R17" s="14" t="str">
        <f>IF($A17="","",B17*(1-参数!$B$17))</f>
        <v/>
      </c>
      <c r="S17" s="20" t="str">
        <f t="shared" si="5"/>
        <v/>
      </c>
      <c r="T17" s="12" t="str">
        <f t="shared" si="6"/>
        <v/>
      </c>
    </row>
    <row r="18" spans="1:20" ht="20" customHeight="1">
      <c r="A18" s="12" t="str">
        <f>IF(ROW()-4&lt;=参数!$B$8,ROW()-4,"")</f>
        <v/>
      </c>
      <c r="B18" s="14" t="str">
        <f>IF($A18="","",IF($A18=1,参数!$B$6,C17))</f>
        <v/>
      </c>
      <c r="C18" s="14" t="str">
        <f>IF($A18="","",参数!$B$6*(参数!$B$7/参数!$B$6)^($A18/参数!$B$8))</f>
        <v/>
      </c>
      <c r="D18" s="14" t="str">
        <f>IF($A18="","",B18*(1+参数!$B$14))</f>
        <v/>
      </c>
      <c r="E18" s="14" t="str">
        <f>IF($A18="","",C18*(1-参数!$B$14))</f>
        <v/>
      </c>
      <c r="F18" s="21" t="str">
        <f>IF($A18="","",IF($A18=1,参数!$B$5/参数!$B$6,N17))</f>
        <v/>
      </c>
      <c r="G18" s="17" t="str">
        <f t="shared" si="0"/>
        <v/>
      </c>
      <c r="H18" s="18" t="str">
        <f>IF($A18="","",G18*参数!$B$9)</f>
        <v/>
      </c>
      <c r="I18" s="23" t="str">
        <f>IF($A18="","",H18/参数!$B$18)</f>
        <v/>
      </c>
      <c r="J18" s="21" t="str">
        <f>IF($A18="","",H18*参数!$B$13/D18)</f>
        <v/>
      </c>
      <c r="K18" s="21" t="str">
        <f>IF($A18="","",H18*参数!$B$15*参数!$B$16/((D18+E18)/2))</f>
        <v/>
      </c>
      <c r="L18" s="21" t="str">
        <f t="shared" si="1"/>
        <v/>
      </c>
      <c r="M18" s="21" t="str">
        <f>IF($A18="","",H18*参数!$B$13/E18)</f>
        <v/>
      </c>
      <c r="N18" s="21" t="str">
        <f t="shared" si="2"/>
        <v/>
      </c>
      <c r="O18" s="17" t="str">
        <f t="shared" si="3"/>
        <v/>
      </c>
      <c r="P18" s="19" t="str">
        <f t="shared" si="4"/>
        <v/>
      </c>
      <c r="Q18" s="14" t="str">
        <f>IF($A18="","",H18*(1+参数!$B$11+参数!$B$12)/(F18+H18/D18))</f>
        <v/>
      </c>
      <c r="R18" s="14" t="str">
        <f>IF($A18="","",B18*(1-参数!$B$17))</f>
        <v/>
      </c>
      <c r="S18" s="20" t="str">
        <f t="shared" si="5"/>
        <v/>
      </c>
      <c r="T18" s="12" t="str">
        <f t="shared" si="6"/>
        <v/>
      </c>
    </row>
    <row r="19" spans="1:20" ht="20" customHeight="1">
      <c r="A19" s="12" t="str">
        <f>IF(ROW()-4&lt;=参数!$B$8,ROW()-4,"")</f>
        <v/>
      </c>
      <c r="B19" s="14" t="str">
        <f>IF($A19="","",IF($A19=1,参数!$B$6,C18))</f>
        <v/>
      </c>
      <c r="C19" s="14" t="str">
        <f>IF($A19="","",参数!$B$6*(参数!$B$7/参数!$B$6)^($A19/参数!$B$8))</f>
        <v/>
      </c>
      <c r="D19" s="14" t="str">
        <f>IF($A19="","",B19*(1+参数!$B$14))</f>
        <v/>
      </c>
      <c r="E19" s="14" t="str">
        <f>IF($A19="","",C19*(1-参数!$B$14))</f>
        <v/>
      </c>
      <c r="F19" s="21" t="str">
        <f>IF($A19="","",IF($A19=1,参数!$B$5/参数!$B$6,N18))</f>
        <v/>
      </c>
      <c r="G19" s="17" t="str">
        <f t="shared" si="0"/>
        <v/>
      </c>
      <c r="H19" s="18" t="str">
        <f>IF($A19="","",G19*参数!$B$9)</f>
        <v/>
      </c>
      <c r="I19" s="23" t="str">
        <f>IF($A19="","",H19/参数!$B$18)</f>
        <v/>
      </c>
      <c r="J19" s="21" t="str">
        <f>IF($A19="","",H19*参数!$B$13/D19)</f>
        <v/>
      </c>
      <c r="K19" s="21" t="str">
        <f>IF($A19="","",H19*参数!$B$15*参数!$B$16/((D19+E19)/2))</f>
        <v/>
      </c>
      <c r="L19" s="21" t="str">
        <f t="shared" si="1"/>
        <v/>
      </c>
      <c r="M19" s="21" t="str">
        <f>IF($A19="","",H19*参数!$B$13/E19)</f>
        <v/>
      </c>
      <c r="N19" s="21" t="str">
        <f t="shared" si="2"/>
        <v/>
      </c>
      <c r="O19" s="17" t="str">
        <f t="shared" si="3"/>
        <v/>
      </c>
      <c r="P19" s="19" t="str">
        <f t="shared" si="4"/>
        <v/>
      </c>
      <c r="Q19" s="14" t="str">
        <f>IF($A19="","",H19*(1+参数!$B$11+参数!$B$12)/(F19+H19/D19))</f>
        <v/>
      </c>
      <c r="R19" s="14" t="str">
        <f>IF($A19="","",B19*(1-参数!$B$17))</f>
        <v/>
      </c>
      <c r="S19" s="20" t="str">
        <f t="shared" si="5"/>
        <v/>
      </c>
      <c r="T19" s="12" t="str">
        <f t="shared" si="6"/>
        <v/>
      </c>
    </row>
    <row r="20" spans="1:20" ht="20" customHeight="1">
      <c r="A20" s="12" t="str">
        <f>IF(ROW()-4&lt;=参数!$B$8,ROW()-4,"")</f>
        <v/>
      </c>
      <c r="B20" s="14" t="str">
        <f>IF($A20="","",IF($A20=1,参数!$B$6,C19))</f>
        <v/>
      </c>
      <c r="C20" s="14" t="str">
        <f>IF($A20="","",参数!$B$6*(参数!$B$7/参数!$B$6)^($A20/参数!$B$8))</f>
        <v/>
      </c>
      <c r="D20" s="14" t="str">
        <f>IF($A20="","",B20*(1+参数!$B$14))</f>
        <v/>
      </c>
      <c r="E20" s="14" t="str">
        <f>IF($A20="","",C20*(1-参数!$B$14))</f>
        <v/>
      </c>
      <c r="F20" s="21" t="str">
        <f>IF($A20="","",IF($A20=1,参数!$B$5/参数!$B$6,N19))</f>
        <v/>
      </c>
      <c r="G20" s="17" t="str">
        <f t="shared" si="0"/>
        <v/>
      </c>
      <c r="H20" s="18" t="str">
        <f>IF($A20="","",G20*参数!$B$9)</f>
        <v/>
      </c>
      <c r="I20" s="23" t="str">
        <f>IF($A20="","",H20/参数!$B$18)</f>
        <v/>
      </c>
      <c r="J20" s="21" t="str">
        <f>IF($A20="","",H20*参数!$B$13/D20)</f>
        <v/>
      </c>
      <c r="K20" s="21" t="str">
        <f>IF($A20="","",H20*参数!$B$15*参数!$B$16/((D20+E20)/2))</f>
        <v/>
      </c>
      <c r="L20" s="21" t="str">
        <f t="shared" si="1"/>
        <v/>
      </c>
      <c r="M20" s="21" t="str">
        <f>IF($A20="","",H20*参数!$B$13/E20)</f>
        <v/>
      </c>
      <c r="N20" s="21" t="str">
        <f t="shared" si="2"/>
        <v/>
      </c>
      <c r="O20" s="17" t="str">
        <f t="shared" si="3"/>
        <v/>
      </c>
      <c r="P20" s="19" t="str">
        <f t="shared" si="4"/>
        <v/>
      </c>
      <c r="Q20" s="14" t="str">
        <f>IF($A20="","",H20*(1+参数!$B$11+参数!$B$12)/(F20+H20/D20))</f>
        <v/>
      </c>
      <c r="R20" s="14" t="str">
        <f>IF($A20="","",B20*(1-参数!$B$17))</f>
        <v/>
      </c>
      <c r="S20" s="20" t="str">
        <f t="shared" si="5"/>
        <v/>
      </c>
      <c r="T20" s="12" t="str">
        <f t="shared" si="6"/>
        <v/>
      </c>
    </row>
    <row r="21" spans="1:20" ht="20" customHeight="1">
      <c r="A21" s="12" t="str">
        <f>IF(ROW()-4&lt;=参数!$B$8,ROW()-4,"")</f>
        <v/>
      </c>
      <c r="B21" s="14" t="str">
        <f>IF($A21="","",IF($A21=1,参数!$B$6,C20))</f>
        <v/>
      </c>
      <c r="C21" s="14" t="str">
        <f>IF($A21="","",参数!$B$6*(参数!$B$7/参数!$B$6)^($A21/参数!$B$8))</f>
        <v/>
      </c>
      <c r="D21" s="14" t="str">
        <f>IF($A21="","",B21*(1+参数!$B$14))</f>
        <v/>
      </c>
      <c r="E21" s="14" t="str">
        <f>IF($A21="","",C21*(1-参数!$B$14))</f>
        <v/>
      </c>
      <c r="F21" s="21" t="str">
        <f>IF($A21="","",IF($A21=1,参数!$B$5/参数!$B$6,N20))</f>
        <v/>
      </c>
      <c r="G21" s="17" t="str">
        <f t="shared" si="0"/>
        <v/>
      </c>
      <c r="H21" s="18" t="str">
        <f>IF($A21="","",G21*参数!$B$9)</f>
        <v/>
      </c>
      <c r="I21" s="23" t="str">
        <f>IF($A21="","",H21/参数!$B$18)</f>
        <v/>
      </c>
      <c r="J21" s="21" t="str">
        <f>IF($A21="","",H21*参数!$B$13/D21)</f>
        <v/>
      </c>
      <c r="K21" s="21" t="str">
        <f>IF($A21="","",H21*参数!$B$15*参数!$B$16/((D21+E21)/2))</f>
        <v/>
      </c>
      <c r="L21" s="21" t="str">
        <f t="shared" si="1"/>
        <v/>
      </c>
      <c r="M21" s="21" t="str">
        <f>IF($A21="","",H21*参数!$B$13/E21)</f>
        <v/>
      </c>
      <c r="N21" s="21" t="str">
        <f t="shared" si="2"/>
        <v/>
      </c>
      <c r="O21" s="17" t="str">
        <f t="shared" si="3"/>
        <v/>
      </c>
      <c r="P21" s="19" t="str">
        <f t="shared" si="4"/>
        <v/>
      </c>
      <c r="Q21" s="14" t="str">
        <f>IF($A21="","",H21*(1+参数!$B$11+参数!$B$12)/(F21+H21/D21))</f>
        <v/>
      </c>
      <c r="R21" s="14" t="str">
        <f>IF($A21="","",B21*(1-参数!$B$17))</f>
        <v/>
      </c>
      <c r="S21" s="20" t="str">
        <f t="shared" si="5"/>
        <v/>
      </c>
      <c r="T21" s="12" t="str">
        <f t="shared" si="6"/>
        <v/>
      </c>
    </row>
    <row r="22" spans="1:20" ht="20" customHeight="1">
      <c r="A22" s="12" t="str">
        <f>IF(ROW()-4&lt;=参数!$B$8,ROW()-4,"")</f>
        <v/>
      </c>
      <c r="B22" s="14" t="str">
        <f>IF($A22="","",IF($A22=1,参数!$B$6,C21))</f>
        <v/>
      </c>
      <c r="C22" s="14" t="str">
        <f>IF($A22="","",参数!$B$6*(参数!$B$7/参数!$B$6)^($A22/参数!$B$8))</f>
        <v/>
      </c>
      <c r="D22" s="14" t="str">
        <f>IF($A22="","",B22*(1+参数!$B$14))</f>
        <v/>
      </c>
      <c r="E22" s="14" t="str">
        <f>IF($A22="","",C22*(1-参数!$B$14))</f>
        <v/>
      </c>
      <c r="F22" s="21" t="str">
        <f>IF($A22="","",IF($A22=1,参数!$B$5/参数!$B$6,N21))</f>
        <v/>
      </c>
      <c r="G22" s="17" t="str">
        <f t="shared" si="0"/>
        <v/>
      </c>
      <c r="H22" s="18" t="str">
        <f>IF($A22="","",G22*参数!$B$9)</f>
        <v/>
      </c>
      <c r="I22" s="23" t="str">
        <f>IF($A22="","",H22/参数!$B$18)</f>
        <v/>
      </c>
      <c r="J22" s="21" t="str">
        <f>IF($A22="","",H22*参数!$B$13/D22)</f>
        <v/>
      </c>
      <c r="K22" s="21" t="str">
        <f>IF($A22="","",H22*参数!$B$15*参数!$B$16/((D22+E22)/2))</f>
        <v/>
      </c>
      <c r="L22" s="21" t="str">
        <f t="shared" si="1"/>
        <v/>
      </c>
      <c r="M22" s="21" t="str">
        <f>IF($A22="","",H22*参数!$B$13/E22)</f>
        <v/>
      </c>
      <c r="N22" s="21" t="str">
        <f t="shared" si="2"/>
        <v/>
      </c>
      <c r="O22" s="17" t="str">
        <f t="shared" si="3"/>
        <v/>
      </c>
      <c r="P22" s="19" t="str">
        <f t="shared" si="4"/>
        <v/>
      </c>
      <c r="Q22" s="14" t="str">
        <f>IF($A22="","",H22*(1+参数!$B$11+参数!$B$12)/(F22+H22/D22))</f>
        <v/>
      </c>
      <c r="R22" s="14" t="str">
        <f>IF($A22="","",B22*(1-参数!$B$17))</f>
        <v/>
      </c>
      <c r="S22" s="20" t="str">
        <f t="shared" si="5"/>
        <v/>
      </c>
      <c r="T22" s="12" t="str">
        <f t="shared" si="6"/>
        <v/>
      </c>
    </row>
    <row r="23" spans="1:20" ht="20" customHeight="1">
      <c r="A23" s="12" t="str">
        <f>IF(ROW()-4&lt;=参数!$B$8,ROW()-4,"")</f>
        <v/>
      </c>
      <c r="B23" s="14" t="str">
        <f>IF($A23="","",IF($A23=1,参数!$B$6,C22))</f>
        <v/>
      </c>
      <c r="C23" s="14" t="str">
        <f>IF($A23="","",参数!$B$6*(参数!$B$7/参数!$B$6)^($A23/参数!$B$8))</f>
        <v/>
      </c>
      <c r="D23" s="14" t="str">
        <f>IF($A23="","",B23*(1+参数!$B$14))</f>
        <v/>
      </c>
      <c r="E23" s="14" t="str">
        <f>IF($A23="","",C23*(1-参数!$B$14))</f>
        <v/>
      </c>
      <c r="F23" s="21" t="str">
        <f>IF($A23="","",IF($A23=1,参数!$B$5/参数!$B$6,N22))</f>
        <v/>
      </c>
      <c r="G23" s="17" t="str">
        <f t="shared" si="0"/>
        <v/>
      </c>
      <c r="H23" s="18" t="str">
        <f>IF($A23="","",G23*参数!$B$9)</f>
        <v/>
      </c>
      <c r="I23" s="23" t="str">
        <f>IF($A23="","",H23/参数!$B$18)</f>
        <v/>
      </c>
      <c r="J23" s="21" t="str">
        <f>IF($A23="","",H23*参数!$B$13/D23)</f>
        <v/>
      </c>
      <c r="K23" s="21" t="str">
        <f>IF($A23="","",H23*参数!$B$15*参数!$B$16/((D23+E23)/2))</f>
        <v/>
      </c>
      <c r="L23" s="21" t="str">
        <f t="shared" si="1"/>
        <v/>
      </c>
      <c r="M23" s="21" t="str">
        <f>IF($A23="","",H23*参数!$B$13/E23)</f>
        <v/>
      </c>
      <c r="N23" s="21" t="str">
        <f t="shared" si="2"/>
        <v/>
      </c>
      <c r="O23" s="17" t="str">
        <f t="shared" si="3"/>
        <v/>
      </c>
      <c r="P23" s="19" t="str">
        <f t="shared" si="4"/>
        <v/>
      </c>
      <c r="Q23" s="14" t="str">
        <f>IF($A23="","",H23*(1+参数!$B$11+参数!$B$12)/(F23+H23/D23))</f>
        <v/>
      </c>
      <c r="R23" s="14" t="str">
        <f>IF($A23="","",B23*(1-参数!$B$17))</f>
        <v/>
      </c>
      <c r="S23" s="20" t="str">
        <f t="shared" si="5"/>
        <v/>
      </c>
      <c r="T23" s="12" t="str">
        <f t="shared" si="6"/>
        <v/>
      </c>
    </row>
    <row r="24" spans="1:20" ht="20" customHeight="1">
      <c r="A24" s="12" t="str">
        <f>IF(ROW()-4&lt;=参数!$B$8,ROW()-4,"")</f>
        <v/>
      </c>
      <c r="B24" s="14" t="str">
        <f>IF($A24="","",IF($A24=1,参数!$B$6,C23))</f>
        <v/>
      </c>
      <c r="C24" s="14" t="str">
        <f>IF($A24="","",参数!$B$6*(参数!$B$7/参数!$B$6)^($A24/参数!$B$8))</f>
        <v/>
      </c>
      <c r="D24" s="14" t="str">
        <f>IF($A24="","",B24*(1+参数!$B$14))</f>
        <v/>
      </c>
      <c r="E24" s="14" t="str">
        <f>IF($A24="","",C24*(1-参数!$B$14))</f>
        <v/>
      </c>
      <c r="F24" s="21" t="str">
        <f>IF($A24="","",IF($A24=1,参数!$B$5/参数!$B$6,N23))</f>
        <v/>
      </c>
      <c r="G24" s="17" t="str">
        <f t="shared" si="0"/>
        <v/>
      </c>
      <c r="H24" s="18" t="str">
        <f>IF($A24="","",G24*参数!$B$9)</f>
        <v/>
      </c>
      <c r="I24" s="23" t="str">
        <f>IF($A24="","",H24/参数!$B$18)</f>
        <v/>
      </c>
      <c r="J24" s="21" t="str">
        <f>IF($A24="","",H24*参数!$B$13/D24)</f>
        <v/>
      </c>
      <c r="K24" s="21" t="str">
        <f>IF($A24="","",H24*参数!$B$15*参数!$B$16/((D24+E24)/2))</f>
        <v/>
      </c>
      <c r="L24" s="21" t="str">
        <f t="shared" si="1"/>
        <v/>
      </c>
      <c r="M24" s="21" t="str">
        <f>IF($A24="","",H24*参数!$B$13/E24)</f>
        <v/>
      </c>
      <c r="N24" s="21" t="str">
        <f t="shared" si="2"/>
        <v/>
      </c>
      <c r="O24" s="17" t="str">
        <f t="shared" si="3"/>
        <v/>
      </c>
      <c r="P24" s="19" t="str">
        <f t="shared" si="4"/>
        <v/>
      </c>
      <c r="Q24" s="14" t="str">
        <f>IF($A24="","",H24*(1+参数!$B$11+参数!$B$12)/(F24+H24/D24))</f>
        <v/>
      </c>
      <c r="R24" s="14" t="str">
        <f>IF($A24="","",B24*(1-参数!$B$17))</f>
        <v/>
      </c>
      <c r="S24" s="20" t="str">
        <f t="shared" si="5"/>
        <v/>
      </c>
      <c r="T24" s="12" t="str">
        <f t="shared" si="6"/>
        <v/>
      </c>
    </row>
    <row r="25" spans="1:20" ht="20" customHeight="1">
      <c r="A25" s="12" t="str">
        <f>IF(ROW()-4&lt;=参数!$B$8,ROW()-4,"")</f>
        <v/>
      </c>
      <c r="B25" s="14" t="str">
        <f>IF($A25="","",IF($A25=1,参数!$B$6,C24))</f>
        <v/>
      </c>
      <c r="C25" s="14" t="str">
        <f>IF($A25="","",参数!$B$6*(参数!$B$7/参数!$B$6)^($A25/参数!$B$8))</f>
        <v/>
      </c>
      <c r="D25" s="14" t="str">
        <f>IF($A25="","",B25*(1+参数!$B$14))</f>
        <v/>
      </c>
      <c r="E25" s="14" t="str">
        <f>IF($A25="","",C25*(1-参数!$B$14))</f>
        <v/>
      </c>
      <c r="F25" s="21" t="str">
        <f>IF($A25="","",IF($A25=1,参数!$B$5/参数!$B$6,N24))</f>
        <v/>
      </c>
      <c r="G25" s="17" t="str">
        <f t="shared" si="0"/>
        <v/>
      </c>
      <c r="H25" s="18" t="str">
        <f>IF($A25="","",G25*参数!$B$9)</f>
        <v/>
      </c>
      <c r="I25" s="23" t="str">
        <f>IF($A25="","",H25/参数!$B$18)</f>
        <v/>
      </c>
      <c r="J25" s="21" t="str">
        <f>IF($A25="","",H25*参数!$B$13/D25)</f>
        <v/>
      </c>
      <c r="K25" s="21" t="str">
        <f>IF($A25="","",H25*参数!$B$15*参数!$B$16/((D25+E25)/2))</f>
        <v/>
      </c>
      <c r="L25" s="21" t="str">
        <f t="shared" si="1"/>
        <v/>
      </c>
      <c r="M25" s="21" t="str">
        <f>IF($A25="","",H25*参数!$B$13/E25)</f>
        <v/>
      </c>
      <c r="N25" s="21" t="str">
        <f t="shared" si="2"/>
        <v/>
      </c>
      <c r="O25" s="17" t="str">
        <f t="shared" si="3"/>
        <v/>
      </c>
      <c r="P25" s="19" t="str">
        <f t="shared" si="4"/>
        <v/>
      </c>
      <c r="Q25" s="14" t="str">
        <f>IF($A25="","",H25*(1+参数!$B$11+参数!$B$12)/(F25+H25/D25))</f>
        <v/>
      </c>
      <c r="R25" s="14" t="str">
        <f>IF($A25="","",B25*(1-参数!$B$17))</f>
        <v/>
      </c>
      <c r="S25" s="20" t="str">
        <f t="shared" si="5"/>
        <v/>
      </c>
      <c r="T25" s="12" t="str">
        <f t="shared" si="6"/>
        <v/>
      </c>
    </row>
    <row r="26" spans="1:20" ht="20" customHeight="1">
      <c r="A26" s="12" t="str">
        <f>IF(ROW()-4&lt;=参数!$B$8,ROW()-4,"")</f>
        <v/>
      </c>
      <c r="B26" s="14" t="str">
        <f>IF($A26="","",IF($A26=1,参数!$B$6,C25))</f>
        <v/>
      </c>
      <c r="C26" s="14" t="str">
        <f>IF($A26="","",参数!$B$6*(参数!$B$7/参数!$B$6)^($A26/参数!$B$8))</f>
        <v/>
      </c>
      <c r="D26" s="14" t="str">
        <f>IF($A26="","",B26*(1+参数!$B$14))</f>
        <v/>
      </c>
      <c r="E26" s="14" t="str">
        <f>IF($A26="","",C26*(1-参数!$B$14))</f>
        <v/>
      </c>
      <c r="F26" s="21" t="str">
        <f>IF($A26="","",IF($A26=1,参数!$B$5/参数!$B$6,N25))</f>
        <v/>
      </c>
      <c r="G26" s="17" t="str">
        <f t="shared" si="0"/>
        <v/>
      </c>
      <c r="H26" s="18" t="str">
        <f>IF($A26="","",G26*参数!$B$9)</f>
        <v/>
      </c>
      <c r="I26" s="23" t="str">
        <f>IF($A26="","",H26/参数!$B$18)</f>
        <v/>
      </c>
      <c r="J26" s="21" t="str">
        <f>IF($A26="","",H26*参数!$B$13/D26)</f>
        <v/>
      </c>
      <c r="K26" s="21" t="str">
        <f>IF($A26="","",H26*参数!$B$15*参数!$B$16/((D26+E26)/2))</f>
        <v/>
      </c>
      <c r="L26" s="21" t="str">
        <f t="shared" si="1"/>
        <v/>
      </c>
      <c r="M26" s="21" t="str">
        <f>IF($A26="","",H26*参数!$B$13/E26)</f>
        <v/>
      </c>
      <c r="N26" s="21" t="str">
        <f t="shared" si="2"/>
        <v/>
      </c>
      <c r="O26" s="17" t="str">
        <f t="shared" si="3"/>
        <v/>
      </c>
      <c r="P26" s="19" t="str">
        <f t="shared" si="4"/>
        <v/>
      </c>
      <c r="Q26" s="14" t="str">
        <f>IF($A26="","",H26*(1+参数!$B$11+参数!$B$12)/(F26+H26/D26))</f>
        <v/>
      </c>
      <c r="R26" s="14" t="str">
        <f>IF($A26="","",B26*(1-参数!$B$17))</f>
        <v/>
      </c>
      <c r="S26" s="20" t="str">
        <f t="shared" si="5"/>
        <v/>
      </c>
      <c r="T26" s="12" t="str">
        <f t="shared" si="6"/>
        <v/>
      </c>
    </row>
    <row r="27" spans="1:20" ht="20" customHeight="1">
      <c r="A27" s="12" t="str">
        <f>IF(ROW()-4&lt;=参数!$B$8,ROW()-4,"")</f>
        <v/>
      </c>
      <c r="B27" s="14" t="str">
        <f>IF($A27="","",IF($A27=1,参数!$B$6,C26))</f>
        <v/>
      </c>
      <c r="C27" s="14" t="str">
        <f>IF($A27="","",参数!$B$6*(参数!$B$7/参数!$B$6)^($A27/参数!$B$8))</f>
        <v/>
      </c>
      <c r="D27" s="14" t="str">
        <f>IF($A27="","",B27*(1+参数!$B$14))</f>
        <v/>
      </c>
      <c r="E27" s="14" t="str">
        <f>IF($A27="","",C27*(1-参数!$B$14))</f>
        <v/>
      </c>
      <c r="F27" s="21" t="str">
        <f>IF($A27="","",IF($A27=1,参数!$B$5/参数!$B$6,N26))</f>
        <v/>
      </c>
      <c r="G27" s="17" t="str">
        <f t="shared" si="0"/>
        <v/>
      </c>
      <c r="H27" s="18" t="str">
        <f>IF($A27="","",G27*参数!$B$9)</f>
        <v/>
      </c>
      <c r="I27" s="23" t="str">
        <f>IF($A27="","",H27/参数!$B$18)</f>
        <v/>
      </c>
      <c r="J27" s="21" t="str">
        <f>IF($A27="","",H27*参数!$B$13/D27)</f>
        <v/>
      </c>
      <c r="K27" s="21" t="str">
        <f>IF($A27="","",H27*参数!$B$15*参数!$B$16/((D27+E27)/2))</f>
        <v/>
      </c>
      <c r="L27" s="21" t="str">
        <f t="shared" si="1"/>
        <v/>
      </c>
      <c r="M27" s="21" t="str">
        <f>IF($A27="","",H27*参数!$B$13/E27)</f>
        <v/>
      </c>
      <c r="N27" s="21" t="str">
        <f t="shared" si="2"/>
        <v/>
      </c>
      <c r="O27" s="17" t="str">
        <f t="shared" si="3"/>
        <v/>
      </c>
      <c r="P27" s="19" t="str">
        <f t="shared" si="4"/>
        <v/>
      </c>
      <c r="Q27" s="14" t="str">
        <f>IF($A27="","",H27*(1+参数!$B$11+参数!$B$12)/(F27+H27/D27))</f>
        <v/>
      </c>
      <c r="R27" s="14" t="str">
        <f>IF($A27="","",B27*(1-参数!$B$17))</f>
        <v/>
      </c>
      <c r="S27" s="20" t="str">
        <f t="shared" si="5"/>
        <v/>
      </c>
      <c r="T27" s="12" t="str">
        <f t="shared" si="6"/>
        <v/>
      </c>
    </row>
    <row r="28" spans="1:20" ht="20" customHeight="1">
      <c r="A28" s="12" t="str">
        <f>IF(ROW()-4&lt;=参数!$B$8,ROW()-4,"")</f>
        <v/>
      </c>
      <c r="B28" s="14" t="str">
        <f>IF($A28="","",IF($A28=1,参数!$B$6,C27))</f>
        <v/>
      </c>
      <c r="C28" s="14" t="str">
        <f>IF($A28="","",参数!$B$6*(参数!$B$7/参数!$B$6)^($A28/参数!$B$8))</f>
        <v/>
      </c>
      <c r="D28" s="14" t="str">
        <f>IF($A28="","",B28*(1+参数!$B$14))</f>
        <v/>
      </c>
      <c r="E28" s="14" t="str">
        <f>IF($A28="","",C28*(1-参数!$B$14))</f>
        <v/>
      </c>
      <c r="F28" s="21" t="str">
        <f>IF($A28="","",IF($A28=1,参数!$B$5/参数!$B$6,N27))</f>
        <v/>
      </c>
      <c r="G28" s="17" t="str">
        <f t="shared" si="0"/>
        <v/>
      </c>
      <c r="H28" s="18" t="str">
        <f>IF($A28="","",G28*参数!$B$9)</f>
        <v/>
      </c>
      <c r="I28" s="23" t="str">
        <f>IF($A28="","",H28/参数!$B$18)</f>
        <v/>
      </c>
      <c r="J28" s="21" t="str">
        <f>IF($A28="","",H28*参数!$B$13/D28)</f>
        <v/>
      </c>
      <c r="K28" s="21" t="str">
        <f>IF($A28="","",H28*参数!$B$15*参数!$B$16/((D28+E28)/2))</f>
        <v/>
      </c>
      <c r="L28" s="21" t="str">
        <f t="shared" si="1"/>
        <v/>
      </c>
      <c r="M28" s="21" t="str">
        <f>IF($A28="","",H28*参数!$B$13/E28)</f>
        <v/>
      </c>
      <c r="N28" s="21" t="str">
        <f t="shared" si="2"/>
        <v/>
      </c>
      <c r="O28" s="17" t="str">
        <f t="shared" si="3"/>
        <v/>
      </c>
      <c r="P28" s="19" t="str">
        <f t="shared" si="4"/>
        <v/>
      </c>
      <c r="Q28" s="14" t="str">
        <f>IF($A28="","",H28*(1+参数!$B$11+参数!$B$12)/(F28+H28/D28))</f>
        <v/>
      </c>
      <c r="R28" s="14" t="str">
        <f>IF($A28="","",B28*(1-参数!$B$17))</f>
        <v/>
      </c>
      <c r="S28" s="20" t="str">
        <f t="shared" si="5"/>
        <v/>
      </c>
      <c r="T28" s="12" t="str">
        <f t="shared" si="6"/>
        <v/>
      </c>
    </row>
    <row r="29" spans="1:20" ht="2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2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2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2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mergeCells count="2">
    <mergeCell ref="A1:J1"/>
    <mergeCell ref="A2:J2"/>
  </mergeCells>
  <conditionalFormatting sqref="T5:T28">
    <cfRule type="containsText" dxfId="7" priority="1" operator="containsText" text="OK"/>
    <cfRule type="containsText" dxfId="6" priority="2" operator="containsText" text="强平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"/>
  <sheetViews>
    <sheetView workbookViewId="0">
      <pane ySplit="4" topLeftCell="A5" activePane="bottomLeft" state="frozen"/>
      <selection pane="bottomLeft" sqref="A1:J1"/>
    </sheetView>
  </sheetViews>
  <sheetFormatPr baseColWidth="10" defaultColWidth="8.83203125" defaultRowHeight="15"/>
  <cols>
    <col min="1" max="1" width="8" customWidth="1"/>
    <col min="2" max="17" width="11" customWidth="1"/>
    <col min="18" max="18" width="10" customWidth="1"/>
    <col min="19" max="19" width="12" customWidth="1"/>
    <col min="20" max="20" width="11" customWidth="1"/>
  </cols>
  <sheetData>
    <row r="1" spans="1:20" ht="20" customHeight="1">
      <c r="A1" s="66" t="s">
        <v>152</v>
      </c>
      <c r="B1" s="61"/>
      <c r="C1" s="61"/>
      <c r="D1" s="61"/>
      <c r="E1" s="61"/>
      <c r="F1" s="61"/>
      <c r="G1" s="61"/>
      <c r="H1" s="61"/>
      <c r="I1" s="61"/>
      <c r="J1" s="61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0" customHeight="1">
      <c r="A2" s="70" t="s">
        <v>153</v>
      </c>
      <c r="B2" s="61"/>
      <c r="C2" s="61"/>
      <c r="D2" s="61"/>
      <c r="E2" s="61"/>
      <c r="F2" s="61"/>
      <c r="G2" s="61"/>
      <c r="H2" s="61"/>
      <c r="I2" s="61"/>
      <c r="J2" s="61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20" customHeight="1">
      <c r="A4" s="4" t="s">
        <v>154</v>
      </c>
      <c r="B4" s="4" t="s">
        <v>155</v>
      </c>
      <c r="C4" s="4" t="s">
        <v>125</v>
      </c>
      <c r="D4" s="4" t="s">
        <v>127</v>
      </c>
      <c r="E4" s="4" t="s">
        <v>156</v>
      </c>
      <c r="F4" s="4" t="s">
        <v>157</v>
      </c>
      <c r="G4" s="4" t="s">
        <v>158</v>
      </c>
      <c r="H4" s="4" t="s">
        <v>159</v>
      </c>
      <c r="I4" s="4" t="s">
        <v>130</v>
      </c>
      <c r="J4" s="4" t="s">
        <v>160</v>
      </c>
      <c r="K4" s="4" t="s">
        <v>161</v>
      </c>
      <c r="L4" s="4" t="s">
        <v>162</v>
      </c>
      <c r="M4" s="4" t="s">
        <v>163</v>
      </c>
      <c r="N4" s="4" t="s">
        <v>164</v>
      </c>
      <c r="O4" s="4" t="s">
        <v>165</v>
      </c>
      <c r="P4" s="4" t="s">
        <v>166</v>
      </c>
      <c r="Q4" s="4" t="s">
        <v>167</v>
      </c>
      <c r="R4" s="4" t="s">
        <v>168</v>
      </c>
      <c r="S4" s="4" t="s">
        <v>139</v>
      </c>
      <c r="T4" s="5"/>
    </row>
    <row r="5" spans="1:20" ht="20" customHeight="1">
      <c r="A5" s="12">
        <f>IF(ROW()-4&lt;=参数!$B$29,ROW()-4,"")</f>
        <v>1</v>
      </c>
      <c r="B5" s="14">
        <f>IF($A5="","",参数!$B$6*(1+参数!$B$28)^($A5-1))</f>
        <v>1.5</v>
      </c>
      <c r="C5" s="14">
        <f>IF($A5="","",B5*(1+参数!$B$14))</f>
        <v>1.5014999999999998</v>
      </c>
      <c r="D5" s="17">
        <f>IF($A5="","",参数!$B$5)</f>
        <v>10000</v>
      </c>
      <c r="E5" s="17">
        <f>IF($A5="","",D5*参数!$B$25)</f>
        <v>1000</v>
      </c>
      <c r="F5" s="17">
        <f>IF($A5="","",参数!$B$26)</f>
        <v>10</v>
      </c>
      <c r="G5" s="17">
        <f t="shared" ref="G5:G16" si="0">IF($A5="","",E5*F5)</f>
        <v>10000</v>
      </c>
      <c r="H5" s="16">
        <f t="shared" ref="H5:H16" si="1">IF($A5="","",G5/C5)</f>
        <v>6660.0066600066611</v>
      </c>
      <c r="I5" s="17">
        <f>IF($A5="","",G5*参数!$B$13)</f>
        <v>5.9999999999999991</v>
      </c>
      <c r="J5" s="17">
        <f>IF($A5="","",SUM($H$5:H5))</f>
        <v>6660.0066600066611</v>
      </c>
      <c r="K5" s="17">
        <f>IF($A5="","",SUM($I$5:I5))</f>
        <v>5.9999999999999991</v>
      </c>
      <c r="L5" s="17">
        <f t="shared" ref="L5:L16" si="2">IF($A5="","",J5*B5)</f>
        <v>9990.0099900099922</v>
      </c>
      <c r="M5" s="19">
        <f t="shared" ref="M5:M16" si="3">IF($A5="","",L5/MAX(1,D5))</f>
        <v>0.99900099900099926</v>
      </c>
      <c r="N5" s="14">
        <f>IF($A5="","",C5*(1-参数!$B$27))</f>
        <v>1.4714699999999998</v>
      </c>
      <c r="O5" s="18">
        <f>IF($A5="","",H5*(C5-N5)+H5*N5*参数!$B$13+I5)</f>
        <v>211.88000000000002</v>
      </c>
      <c r="P5" s="20">
        <f t="shared" ref="P5:P16" si="4">IF($A5="","",O5/D5)</f>
        <v>2.1188000000000002E-2</v>
      </c>
      <c r="Q5" s="17">
        <f>IF($A5="", "", 0)</f>
        <v>0</v>
      </c>
      <c r="R5" s="18">
        <f>IF($A5="","",参数!$B$5+SUM($H$5:H5)*参数!$B$7-SUMPRODUCT($H$5:H5,$C$5:C5)-K5-SUM($H$5:H5)*参数!$B$7*参数!$B$13)</f>
        <v>266234.42624042626</v>
      </c>
      <c r="S5" s="12" t="str">
        <f t="shared" ref="S5:S16" si="5">IF($A5="","",IF(P5&gt;0.03,"风险偏高",IF(Q5&lt;O5,"旧仓浮盈不足","OK")))</f>
        <v>旧仓浮盈不足</v>
      </c>
      <c r="T5" s="5"/>
    </row>
    <row r="6" spans="1:20" ht="20" customHeight="1">
      <c r="A6" s="12">
        <f>IF(ROW()-4&lt;=参数!$B$29,ROW()-4,"")</f>
        <v>2</v>
      </c>
      <c r="B6" s="14">
        <f>IF($A6="","",参数!$B$6*(1+参数!$B$28)^($A6-1))</f>
        <v>1.6500000000000001</v>
      </c>
      <c r="C6" s="14">
        <f>IF($A6="","",B6*(1+参数!$B$14))</f>
        <v>1.6516500000000001</v>
      </c>
      <c r="D6" s="18">
        <f>IF($A6="","",参数!$B$5+SUM($H$5:H5)*B6-SUMPRODUCT($H$5:H5,$C$5:C5)-K5)</f>
        <v>10983.010989010992</v>
      </c>
      <c r="E6" s="17">
        <f>IF($A6="","",D6*参数!$B$25)</f>
        <v>1098.3010989010993</v>
      </c>
      <c r="F6" s="17">
        <f>IF($A6="","",参数!$B$26)</f>
        <v>10</v>
      </c>
      <c r="G6" s="17">
        <f t="shared" si="0"/>
        <v>10983.010989010992</v>
      </c>
      <c r="H6" s="16">
        <f t="shared" si="1"/>
        <v>6649.7205757945039</v>
      </c>
      <c r="I6" s="17">
        <f>IF($A6="","",G6*参数!$B$13)</f>
        <v>6.5898065934065952</v>
      </c>
      <c r="J6" s="17">
        <f>IF($A6="","",SUM($H$5:H6))</f>
        <v>13309.727235801165</v>
      </c>
      <c r="K6" s="17">
        <f>IF($A6="","",SUM($I$5:I6))</f>
        <v>12.589806593406594</v>
      </c>
      <c r="L6" s="17">
        <f t="shared" si="2"/>
        <v>21961.049939071923</v>
      </c>
      <c r="M6" s="19">
        <f t="shared" si="3"/>
        <v>1.9995472972798591</v>
      </c>
      <c r="N6" s="14">
        <f>IF($A6="","",C6*(1-参数!$B$27))</f>
        <v>1.618617</v>
      </c>
      <c r="O6" s="18">
        <f>IF($A6="","",H6*(C6-N6)+H6*N6*参数!$B$13+I6)</f>
        <v>232.7080368351655</v>
      </c>
      <c r="P6" s="20">
        <f t="shared" si="4"/>
        <v>2.1188000000000054E-2</v>
      </c>
      <c r="Q6" s="18">
        <f>IF($A6="","",SUM($H$5:H5)*B6-SUMPRODUCT($H$5:H5,$C$5:C5)-K5)</f>
        <v>983.01098901099249</v>
      </c>
      <c r="R6" s="18">
        <f>IF($A6="","",参数!$B$5+SUM($H$5:H6)*参数!$B$7-SUMPRODUCT($H$5:H6,$C$5:C6)-K6-SUM($H$5:H6)*参数!$B$7*参数!$B$13)</f>
        <v>521074.05518278299</v>
      </c>
      <c r="S6" s="12" t="str">
        <f t="shared" si="5"/>
        <v>OK</v>
      </c>
      <c r="T6" s="5"/>
    </row>
    <row r="7" spans="1:20" ht="20" customHeight="1">
      <c r="A7" s="12">
        <f>IF(ROW()-4&lt;=参数!$B$29,ROW()-4,"")</f>
        <v>3</v>
      </c>
      <c r="B7" s="14">
        <f>IF($A7="","",参数!$B$6*(1+参数!$B$28)^($A7-1))</f>
        <v>1.8150000000000004</v>
      </c>
      <c r="C7" s="14">
        <f>IF($A7="","",B7*(1+参数!$B$14))</f>
        <v>1.8168150000000003</v>
      </c>
      <c r="D7" s="18">
        <f>IF($A7="","",参数!$B$5+SUM($H$5:H6)*B7-SUMPRODUCT($H$5:H6,$C$5:C6)-K6)</f>
        <v>13161.554137374716</v>
      </c>
      <c r="E7" s="17">
        <f>IF($A7="","",D7*参数!$B$25)</f>
        <v>1316.1554137374717</v>
      </c>
      <c r="F7" s="17">
        <f>IF($A7="","",参数!$B$26)</f>
        <v>10</v>
      </c>
      <c r="G7" s="17">
        <f t="shared" si="0"/>
        <v>13161.554137374716</v>
      </c>
      <c r="H7" s="16">
        <f t="shared" si="1"/>
        <v>7244.3006785912239</v>
      </c>
      <c r="I7" s="17">
        <f>IF($A7="","",G7*参数!$B$13)</f>
        <v>7.8969324824248295</v>
      </c>
      <c r="J7" s="17">
        <f>IF($A7="","",SUM($H$5:H7))</f>
        <v>20554.027914392391</v>
      </c>
      <c r="K7" s="17">
        <f>IF($A7="","",SUM($I$5:I7))</f>
        <v>20.486739075831423</v>
      </c>
      <c r="L7" s="17">
        <f t="shared" si="2"/>
        <v>37305.5606646222</v>
      </c>
      <c r="M7" s="19">
        <f t="shared" si="3"/>
        <v>2.8344343133981438</v>
      </c>
      <c r="N7" s="14">
        <f>IF($A7="","",C7*(1-参数!$B$27))</f>
        <v>1.7804787000000002</v>
      </c>
      <c r="O7" s="18">
        <f>IF($A7="","",H7*(C7-N7)+H7*N7*参数!$B$13+I7)</f>
        <v>278.86700906269613</v>
      </c>
      <c r="P7" s="20">
        <f t="shared" si="4"/>
        <v>2.1188000000000047E-2</v>
      </c>
      <c r="Q7" s="18">
        <f>IF($A7="","",SUM($H$5:H6)*B7-SUMPRODUCT($H$5:H6,$C$5:C6)-K6)</f>
        <v>3161.5541373747205</v>
      </c>
      <c r="R7" s="18">
        <f>IF($A7="","",参数!$B$5+SUM($H$5:H7)*参数!$B$7-SUMPRODUCT($H$5:H7,$C$5:C7)-K7-SUM($H$5:H7)*参数!$B$7*参数!$B$13)</f>
        <v>797502.76804028859</v>
      </c>
      <c r="S7" s="12" t="str">
        <f t="shared" si="5"/>
        <v>OK</v>
      </c>
      <c r="T7" s="5"/>
    </row>
    <row r="8" spans="1:20" ht="20" customHeight="1">
      <c r="A8" s="12">
        <f>IF(ROW()-4&lt;=参数!$B$29,ROW()-4,"")</f>
        <v>4</v>
      </c>
      <c r="B8" s="14">
        <f>IF($A8="","",参数!$B$6*(1+参数!$B$28)^($A8-1))</f>
        <v>1.9965000000000006</v>
      </c>
      <c r="C8" s="14">
        <f>IF($A8="","",B8*(1+参数!$B$14))</f>
        <v>1.9984965000000003</v>
      </c>
      <c r="D8" s="18">
        <f>IF($A8="","",参数!$B$5+SUM($H$5:H7)*B8-SUMPRODUCT($H$5:H7,$C$5:C7)-K7)</f>
        <v>16871.06486562288</v>
      </c>
      <c r="E8" s="17">
        <f>IF($A8="","",D8*参数!$B$25)</f>
        <v>1687.1064865622882</v>
      </c>
      <c r="F8" s="17">
        <f>IF($A8="","",参数!$B$26)</f>
        <v>10</v>
      </c>
      <c r="G8" s="17">
        <f t="shared" si="0"/>
        <v>16871.06486562288</v>
      </c>
      <c r="H8" s="16">
        <f t="shared" si="1"/>
        <v>8441.87861506031</v>
      </c>
      <c r="I8" s="17">
        <f>IF($A8="","",G8*参数!$B$13)</f>
        <v>10.122638919373728</v>
      </c>
      <c r="J8" s="17">
        <f>IF($A8="","",SUM($H$5:H8))</f>
        <v>28995.906529452703</v>
      </c>
      <c r="K8" s="17">
        <f>IF($A8="","",SUM($I$5:I8))</f>
        <v>30.609377995205151</v>
      </c>
      <c r="L8" s="17">
        <f t="shared" si="2"/>
        <v>57890.32738605234</v>
      </c>
      <c r="M8" s="19">
        <f t="shared" si="3"/>
        <v>3.4313380837040026</v>
      </c>
      <c r="N8" s="14">
        <f>IF($A8="","",C8*(1-参数!$B$27))</f>
        <v>1.9585265700000003</v>
      </c>
      <c r="O8" s="18">
        <f>IF($A8="","",H8*(C8-N8)+H8*N8*参数!$B$13+I8)</f>
        <v>357.46412237281788</v>
      </c>
      <c r="P8" s="20">
        <f t="shared" si="4"/>
        <v>2.1188000000000016E-2</v>
      </c>
      <c r="Q8" s="18">
        <f>IF($A8="","",SUM($H$5:H7)*B8-SUMPRODUCT($H$5:H7,$C$5:C7)-K7)</f>
        <v>6871.0648656228786</v>
      </c>
      <c r="R8" s="18">
        <f>IF($A8="","",参数!$B$5+SUM($H$5:H8)*参数!$B$7-SUMPRODUCT($H$5:H8,$C$5:C8)-K8-SUM($H$5:H8)*参数!$B$7*参数!$B$13)</f>
        <v>1118094.1200513975</v>
      </c>
      <c r="S8" s="12" t="str">
        <f t="shared" si="5"/>
        <v>OK</v>
      </c>
      <c r="T8" s="5"/>
    </row>
    <row r="9" spans="1:20" ht="20" customHeight="1">
      <c r="A9" s="12">
        <f>IF(ROW()-4&lt;=参数!$B$29,ROW()-4,"")</f>
        <v>5</v>
      </c>
      <c r="B9" s="14">
        <f>IF($A9="","",参数!$B$6*(1+参数!$B$28)^($A9-1))</f>
        <v>2.1961500000000007</v>
      </c>
      <c r="C9" s="14">
        <f>IF($A9="","",B9*(1+参数!$B$14))</f>
        <v>2.1983461500000003</v>
      </c>
      <c r="D9" s="18">
        <f>IF($A9="","",参数!$B$5+SUM($H$5:H8)*B9-SUMPRODUCT($H$5:H8,$C$5:C8)-K8)</f>
        <v>22633.120754653777</v>
      </c>
      <c r="E9" s="17">
        <f>IF($A9="","",D9*参数!$B$25)</f>
        <v>2263.3120754653778</v>
      </c>
      <c r="F9" s="17">
        <f>IF($A9="","",参数!$B$26)</f>
        <v>10</v>
      </c>
      <c r="G9" s="17">
        <f t="shared" si="0"/>
        <v>22633.120754653777</v>
      </c>
      <c r="H9" s="16">
        <f t="shared" si="1"/>
        <v>10295.521819734246</v>
      </c>
      <c r="I9" s="17">
        <f>IF($A9="","",G9*参数!$B$13)</f>
        <v>13.579872452792266</v>
      </c>
      <c r="J9" s="17">
        <f>IF($A9="","",SUM($H$5:H9))</f>
        <v>39291.42834918695</v>
      </c>
      <c r="K9" s="17">
        <f>IF($A9="","",SUM($I$5:I9))</f>
        <v>44.189250447997416</v>
      </c>
      <c r="L9" s="17">
        <f t="shared" si="2"/>
        <v>86289.87036906695</v>
      </c>
      <c r="M9" s="19">
        <f t="shared" si="3"/>
        <v>3.8125484905268401</v>
      </c>
      <c r="N9" s="14">
        <f>IF($A9="","",C9*(1-参数!$B$27))</f>
        <v>2.1543792270000002</v>
      </c>
      <c r="O9" s="18">
        <f>IF($A9="","",H9*(C9-N9)+H9*N9*参数!$B$13+I9)</f>
        <v>479.55056254960573</v>
      </c>
      <c r="P9" s="20">
        <f t="shared" si="4"/>
        <v>2.1188000000000068E-2</v>
      </c>
      <c r="Q9" s="18">
        <f>IF($A9="","",SUM($H$5:H8)*B9-SUMPRODUCT($H$5:H8,$C$5:C8)-K8)</f>
        <v>12633.120754653779</v>
      </c>
      <c r="R9" s="18">
        <f>IF($A9="","",参数!$B$5+SUM($H$5:H9)*参数!$B$7-SUMPRODUCT($H$5:H9,$C$5:C9)-K9-SUM($H$5:H9)*参数!$B$7*参数!$B$13)</f>
        <v>1507021.1996899873</v>
      </c>
      <c r="S9" s="12" t="str">
        <f t="shared" si="5"/>
        <v>OK</v>
      </c>
      <c r="T9" s="5"/>
    </row>
    <row r="10" spans="1:20" ht="20" customHeight="1">
      <c r="A10" s="12">
        <f>IF(ROW()-4&lt;=参数!$B$29,ROW()-4,"")</f>
        <v>6</v>
      </c>
      <c r="B10" s="14">
        <f>IF($A10="","",参数!$B$6*(1+参数!$B$28)^($A10-1))</f>
        <v>2.4157650000000008</v>
      </c>
      <c r="C10" s="14">
        <f>IF($A10="","",B10*(1+参数!$B$14))</f>
        <v>2.4181807650000007</v>
      </c>
      <c r="D10" s="18">
        <f>IF($A10="","",参数!$B$5+SUM($H$5:H9)*B10-SUMPRODUCT($H$5:H9,$C$5:C9)-K9)</f>
        <v>31225.917408863279</v>
      </c>
      <c r="E10" s="18">
        <f>IF($A10="","",D10*参数!$B$25)</f>
        <v>3122.5917408863279</v>
      </c>
      <c r="F10" s="17">
        <f>IF($A10="","",参数!$B$26)</f>
        <v>10</v>
      </c>
      <c r="G10" s="17">
        <f t="shared" si="0"/>
        <v>31225.917408863279</v>
      </c>
      <c r="H10" s="16">
        <f t="shared" si="1"/>
        <v>12912.978988509683</v>
      </c>
      <c r="I10" s="18">
        <f>IF($A10="","",G10*参数!$B$13)</f>
        <v>18.735550445317966</v>
      </c>
      <c r="J10" s="18">
        <f>IF($A10="","",SUM($H$5:H10))</f>
        <v>52204.407337696633</v>
      </c>
      <c r="K10" s="18">
        <f>IF($A10="","",SUM($I$5:I10))</f>
        <v>62.924800893315378</v>
      </c>
      <c r="L10" s="17">
        <f t="shared" si="2"/>
        <v>126113.58009215075</v>
      </c>
      <c r="M10" s="24">
        <f t="shared" si="3"/>
        <v>4.038746994711329</v>
      </c>
      <c r="N10" s="14">
        <f>IF($A10="","",C10*(1-参数!$B$27))</f>
        <v>2.3698171497000007</v>
      </c>
      <c r="O10" s="18">
        <f>IF($A10="","",H10*(C10-N10)+H10*N10*参数!$B$13+I10)</f>
        <v>661.61473805899493</v>
      </c>
      <c r="P10" s="20">
        <f t="shared" si="4"/>
        <v>2.1187999999999992E-2</v>
      </c>
      <c r="Q10" s="18">
        <f>IF($A10="","",SUM($H$5:H9)*B10-SUMPRODUCT($H$5:H9,$C$5:C9)-K9)</f>
        <v>21225.917408863279</v>
      </c>
      <c r="R10" s="18">
        <f>IF($A10="","",参数!$B$5+SUM($H$5:H10)*参数!$B$7-SUMPRODUCT($H$5:H10,$C$5:C10)-K10-SUM($H$5:H10)*参数!$B$7*参数!$B$13)</f>
        <v>1991985.7947753421</v>
      </c>
      <c r="S10" s="12" t="str">
        <f t="shared" si="5"/>
        <v>OK</v>
      </c>
      <c r="T10" s="5"/>
    </row>
    <row r="11" spans="1:20" ht="20" customHeight="1">
      <c r="A11" s="12">
        <f>IF(ROW()-4&lt;=参数!$B$29,ROW()-4,"")</f>
        <v>7</v>
      </c>
      <c r="B11" s="14">
        <f>IF($A11="","",参数!$B$6*(1+参数!$B$28)^($A11-1))</f>
        <v>2.6573415000000011</v>
      </c>
      <c r="C11" s="14">
        <f>IF($A11="","",B11*(1+参数!$B$14))</f>
        <v>2.6599988415000007</v>
      </c>
      <c r="D11" s="18">
        <f>IF($A11="","",参数!$B$5+SUM($H$5:H10)*B11-SUMPRODUCT($H$5:H10,$C$5:C10)-K10)</f>
        <v>43787.345144946878</v>
      </c>
      <c r="E11" s="18">
        <f>IF($A11="","",D11*参数!$B$25)</f>
        <v>4378.7345144946876</v>
      </c>
      <c r="F11" s="17">
        <f>IF($A11="","",参数!$B$26)</f>
        <v>10</v>
      </c>
      <c r="G11" s="17">
        <f t="shared" si="0"/>
        <v>43787.345144946878</v>
      </c>
      <c r="H11" s="16">
        <f t="shared" si="1"/>
        <v>16461.415118607623</v>
      </c>
      <c r="I11" s="18">
        <f>IF($A11="","",G11*参数!$B$13)</f>
        <v>26.272407086968123</v>
      </c>
      <c r="J11" s="18">
        <f>IF($A11="","",SUM($H$5:H11))</f>
        <v>68665.82245630426</v>
      </c>
      <c r="K11" s="18">
        <f>IF($A11="","",SUM($I$5:I11))</f>
        <v>89.197207980283508</v>
      </c>
      <c r="L11" s="17">
        <f t="shared" si="2"/>
        <v>182468.53964476933</v>
      </c>
      <c r="M11" s="24">
        <f t="shared" si="3"/>
        <v>4.1671523825149395</v>
      </c>
      <c r="N11" s="14">
        <f>IF($A11="","",C11*(1-参数!$B$27))</f>
        <v>2.6067988646700004</v>
      </c>
      <c r="O11" s="18">
        <f>IF($A11="","",H11*(C11-N11)+H11*N11*参数!$B$13+I11)</f>
        <v>927.76626893113769</v>
      </c>
      <c r="P11" s="20">
        <f t="shared" si="4"/>
        <v>2.1188000000000075E-2</v>
      </c>
      <c r="Q11" s="18">
        <f>IF($A11="","",SUM($H$5:H10)*B11-SUMPRODUCT($H$5:H10,$C$5:C10)-K10)</f>
        <v>33787.345144946878</v>
      </c>
      <c r="R11" s="18">
        <f>IF($A11="","",参数!$B$5+SUM($H$5:H11)*参数!$B$7-SUMPRODUCT($H$5:H11,$C$5:C11)-K11-SUM($H$5:H11)*参数!$B$7*参数!$B$13)</f>
        <v>2606233.7080047666</v>
      </c>
      <c r="S11" s="12" t="str">
        <f t="shared" si="5"/>
        <v>OK</v>
      </c>
      <c r="T11" s="5"/>
    </row>
    <row r="12" spans="1:20" ht="20" customHeight="1">
      <c r="A12" s="12">
        <f>IF(ROW()-4&lt;=参数!$B$29,ROW()-4,"")</f>
        <v>8</v>
      </c>
      <c r="B12" s="14">
        <f>IF($A12="","",参数!$B$6*(1+参数!$B$28)^($A12-1))</f>
        <v>2.9230756500000017</v>
      </c>
      <c r="C12" s="14">
        <f>IF($A12="","",B12*(1+参数!$B$14))</f>
        <v>2.9259987256500013</v>
      </c>
      <c r="D12" s="18">
        <f>IF($A12="","",参数!$B$5+SUM($H$5:H11)*B12-SUMPRODUCT($H$5:H11,$C$5:C11)-K11)</f>
        <v>61964.183100793496</v>
      </c>
      <c r="E12" s="18">
        <f>IF($A12="","",D12*参数!$B$25)</f>
        <v>6196.4183100793498</v>
      </c>
      <c r="F12" s="17">
        <f>IF($A12="","",参数!$B$26)</f>
        <v>10</v>
      </c>
      <c r="G12" s="17">
        <f t="shared" si="0"/>
        <v>61964.183100793496</v>
      </c>
      <c r="H12" s="16">
        <f t="shared" si="1"/>
        <v>21177.105293177581</v>
      </c>
      <c r="I12" s="18">
        <f>IF($A12="","",G12*参数!$B$13)</f>
        <v>37.178509860476098</v>
      </c>
      <c r="J12" s="18">
        <f>IF($A12="","",SUM($H$5:H12))</f>
        <v>89842.927749481838</v>
      </c>
      <c r="K12" s="18">
        <f>IF($A12="","",SUM($I$5:I12))</f>
        <v>126.37571784075961</v>
      </c>
      <c r="L12" s="17">
        <f t="shared" si="2"/>
        <v>262617.6744292198</v>
      </c>
      <c r="M12" s="24">
        <f t="shared" si="3"/>
        <v>4.2382173263227738</v>
      </c>
      <c r="N12" s="14">
        <f>IF($A12="","",C12*(1-参数!$B$27))</f>
        <v>2.8674787511370012</v>
      </c>
      <c r="O12" s="18">
        <f>IF($A12="","",H12*(C12-N12)+H12*N12*参数!$B$13+I12)</f>
        <v>1312.8971115396134</v>
      </c>
      <c r="P12" s="20">
        <f t="shared" si="4"/>
        <v>2.1188000000000012E-2</v>
      </c>
      <c r="Q12" s="18">
        <f>IF($A12="","",SUM($H$5:H11)*B12-SUMPRODUCT($H$5:H11,$C$5:C11)-K11)</f>
        <v>51964.183100793496</v>
      </c>
      <c r="R12" s="18">
        <f>IF($A12="","",参数!$B$5+SUM($H$5:H12)*参数!$B$7-SUMPRODUCT($H$5:H12,$C$5:C12)-K12-SUM($H$5:H12)*参数!$B$7*参数!$B$13)</f>
        <v>3390808.3075941796</v>
      </c>
      <c r="S12" s="12" t="str">
        <f t="shared" si="5"/>
        <v>OK</v>
      </c>
      <c r="T12" s="5"/>
    </row>
    <row r="13" spans="1:20" ht="20" customHeight="1">
      <c r="A13" s="12" t="str">
        <f>IF(ROW()-4&lt;=参数!$B$29,ROW()-4,"")</f>
        <v/>
      </c>
      <c r="B13" s="14" t="str">
        <f>IF($A13="","",参数!$B$6*(1+参数!$B$28)^($A13-1))</f>
        <v/>
      </c>
      <c r="C13" s="14" t="str">
        <f>IF($A13="","",B13*(1+参数!$B$14))</f>
        <v/>
      </c>
      <c r="D13" s="18" t="str">
        <f>IF($A13="","",参数!$B$5+SUM($H$5:H12)*B13-SUMPRODUCT($H$5:H12,$C$5:C12)-K12)</f>
        <v/>
      </c>
      <c r="E13" s="18" t="str">
        <f>IF($A13="","",D13*参数!$B$25)</f>
        <v/>
      </c>
      <c r="F13" s="17" t="str">
        <f>IF($A13="","",参数!$B$26)</f>
        <v/>
      </c>
      <c r="G13" s="17" t="str">
        <f t="shared" si="0"/>
        <v/>
      </c>
      <c r="H13" s="16" t="str">
        <f t="shared" si="1"/>
        <v/>
      </c>
      <c r="I13" s="18" t="str">
        <f>IF($A13="","",G13*参数!$B$13)</f>
        <v/>
      </c>
      <c r="J13" s="18" t="str">
        <f>IF($A13="","",SUM($H$5:H13))</f>
        <v/>
      </c>
      <c r="K13" s="18" t="str">
        <f>IF($A13="","",SUM($I$5:I13))</f>
        <v/>
      </c>
      <c r="L13" s="17" t="str">
        <f t="shared" si="2"/>
        <v/>
      </c>
      <c r="M13" s="24" t="str">
        <f t="shared" si="3"/>
        <v/>
      </c>
      <c r="N13" s="14" t="str">
        <f>IF($A13="","",C13*(1-参数!$B$27))</f>
        <v/>
      </c>
      <c r="O13" s="18" t="str">
        <f>IF($A13="","",H13*(C13-N13)+H13*N13*参数!$B$13+I13)</f>
        <v/>
      </c>
      <c r="P13" s="20" t="str">
        <f t="shared" si="4"/>
        <v/>
      </c>
      <c r="Q13" s="18" t="str">
        <f>IF($A13="","",SUM($H$5:H12)*B13-SUMPRODUCT($H$5:H12,$C$5:C12)-K12)</f>
        <v/>
      </c>
      <c r="R13" s="18" t="str">
        <f>IF($A13="","",参数!$B$5+SUM($H$5:H13)*参数!$B$7-SUMPRODUCT($H$5:H13,$C$5:C13)-K13-SUM($H$5:H13)*参数!$B$7*参数!$B$13)</f>
        <v/>
      </c>
      <c r="S13" s="12" t="str">
        <f t="shared" si="5"/>
        <v/>
      </c>
      <c r="T13" s="5"/>
    </row>
    <row r="14" spans="1:20" ht="20" customHeight="1">
      <c r="A14" s="12" t="str">
        <f>IF(ROW()-4&lt;=参数!$B$29,ROW()-4,"")</f>
        <v/>
      </c>
      <c r="B14" s="14" t="str">
        <f>IF($A14="","",参数!$B$6*(1+参数!$B$28)^($A14-1))</f>
        <v/>
      </c>
      <c r="C14" s="14" t="str">
        <f>IF($A14="","",B14*(1+参数!$B$14))</f>
        <v/>
      </c>
      <c r="D14" s="18" t="str">
        <f>IF($A14="","",参数!$B$5+SUM($H$5:H13)*B14-SUMPRODUCT($H$5:H13,$C$5:C13)-K13)</f>
        <v/>
      </c>
      <c r="E14" s="18" t="str">
        <f>IF($A14="","",D14*参数!$B$25)</f>
        <v/>
      </c>
      <c r="F14" s="17" t="str">
        <f>IF($A14="","",参数!$B$26)</f>
        <v/>
      </c>
      <c r="G14" s="17" t="str">
        <f t="shared" si="0"/>
        <v/>
      </c>
      <c r="H14" s="16" t="str">
        <f t="shared" si="1"/>
        <v/>
      </c>
      <c r="I14" s="18" t="str">
        <f>IF($A14="","",G14*参数!$B$13)</f>
        <v/>
      </c>
      <c r="J14" s="18" t="str">
        <f>IF($A14="","",SUM($H$5:H14))</f>
        <v/>
      </c>
      <c r="K14" s="18" t="str">
        <f>IF($A14="","",SUM($I$5:I14))</f>
        <v/>
      </c>
      <c r="L14" s="17" t="str">
        <f t="shared" si="2"/>
        <v/>
      </c>
      <c r="M14" s="24" t="str">
        <f t="shared" si="3"/>
        <v/>
      </c>
      <c r="N14" s="14" t="str">
        <f>IF($A14="","",C14*(1-参数!$B$27))</f>
        <v/>
      </c>
      <c r="O14" s="18" t="str">
        <f>IF($A14="","",H14*(C14-N14)+H14*N14*参数!$B$13+I14)</f>
        <v/>
      </c>
      <c r="P14" s="20" t="str">
        <f t="shared" si="4"/>
        <v/>
      </c>
      <c r="Q14" s="18" t="str">
        <f>IF($A14="","",SUM($H$5:H13)*B14-SUMPRODUCT($H$5:H13,$C$5:C13)-K13)</f>
        <v/>
      </c>
      <c r="R14" s="18" t="str">
        <f>IF($A14="","",参数!$B$5+SUM($H$5:H14)*参数!$B$7-SUMPRODUCT($H$5:H14,$C$5:C14)-K14-SUM($H$5:H14)*参数!$B$7*参数!$B$13)</f>
        <v/>
      </c>
      <c r="S14" s="12" t="str">
        <f t="shared" si="5"/>
        <v/>
      </c>
      <c r="T14" s="5"/>
    </row>
    <row r="15" spans="1:20" ht="20" customHeight="1">
      <c r="A15" s="12" t="str">
        <f>IF(ROW()-4&lt;=参数!$B$29,ROW()-4,"")</f>
        <v/>
      </c>
      <c r="B15" s="14" t="str">
        <f>IF($A15="","",参数!$B$6*(1+参数!$B$28)^($A15-1))</f>
        <v/>
      </c>
      <c r="C15" s="14" t="str">
        <f>IF($A15="","",B15*(1+参数!$B$14))</f>
        <v/>
      </c>
      <c r="D15" s="18" t="str">
        <f>IF($A15="","",参数!$B$5+SUM($H$5:H14)*B15-SUMPRODUCT($H$5:H14,$C$5:C14)-K14)</f>
        <v/>
      </c>
      <c r="E15" s="18" t="str">
        <f>IF($A15="","",D15*参数!$B$25)</f>
        <v/>
      </c>
      <c r="F15" s="17" t="str">
        <f>IF($A15="","",参数!$B$26)</f>
        <v/>
      </c>
      <c r="G15" s="17" t="str">
        <f t="shared" si="0"/>
        <v/>
      </c>
      <c r="H15" s="16" t="str">
        <f t="shared" si="1"/>
        <v/>
      </c>
      <c r="I15" s="18" t="str">
        <f>IF($A15="","",G15*参数!$B$13)</f>
        <v/>
      </c>
      <c r="J15" s="18" t="str">
        <f>IF($A15="","",SUM($H$5:H15))</f>
        <v/>
      </c>
      <c r="K15" s="18" t="str">
        <f>IF($A15="","",SUM($I$5:I15))</f>
        <v/>
      </c>
      <c r="L15" s="17" t="str">
        <f t="shared" si="2"/>
        <v/>
      </c>
      <c r="M15" s="24" t="str">
        <f t="shared" si="3"/>
        <v/>
      </c>
      <c r="N15" s="14" t="str">
        <f>IF($A15="","",C15*(1-参数!$B$27))</f>
        <v/>
      </c>
      <c r="O15" s="18" t="str">
        <f>IF($A15="","",H15*(C15-N15)+H15*N15*参数!$B$13+I15)</f>
        <v/>
      </c>
      <c r="P15" s="20" t="str">
        <f t="shared" si="4"/>
        <v/>
      </c>
      <c r="Q15" s="18" t="str">
        <f>IF($A15="","",SUM($H$5:H14)*B15-SUMPRODUCT($H$5:H14,$C$5:C14)-K14)</f>
        <v/>
      </c>
      <c r="R15" s="18" t="str">
        <f>IF($A15="","",参数!$B$5+SUM($H$5:H15)*参数!$B$7-SUMPRODUCT($H$5:H15,$C$5:C15)-K15-SUM($H$5:H15)*参数!$B$7*参数!$B$13)</f>
        <v/>
      </c>
      <c r="S15" s="12" t="str">
        <f t="shared" si="5"/>
        <v/>
      </c>
      <c r="T15" s="5"/>
    </row>
    <row r="16" spans="1:20" ht="20" customHeight="1">
      <c r="A16" s="12" t="str">
        <f>IF(ROW()-4&lt;=参数!$B$29,ROW()-4,"")</f>
        <v/>
      </c>
      <c r="B16" s="14" t="str">
        <f>IF($A16="","",参数!$B$6*(1+参数!$B$28)^($A16-1))</f>
        <v/>
      </c>
      <c r="C16" s="14" t="str">
        <f>IF($A16="","",B16*(1+参数!$B$14))</f>
        <v/>
      </c>
      <c r="D16" s="18" t="str">
        <f>IF($A16="","",参数!$B$5+SUM($H$5:H15)*B16-SUMPRODUCT($H$5:H15,$C$5:C15)-K15)</f>
        <v/>
      </c>
      <c r="E16" s="18" t="str">
        <f>IF($A16="","",D16*参数!$B$25)</f>
        <v/>
      </c>
      <c r="F16" s="17" t="str">
        <f>IF($A16="","",参数!$B$26)</f>
        <v/>
      </c>
      <c r="G16" s="17" t="str">
        <f t="shared" si="0"/>
        <v/>
      </c>
      <c r="H16" s="16" t="str">
        <f t="shared" si="1"/>
        <v/>
      </c>
      <c r="I16" s="18" t="str">
        <f>IF($A16="","",G16*参数!$B$13)</f>
        <v/>
      </c>
      <c r="J16" s="18" t="str">
        <f>IF($A16="","",SUM($H$5:H16))</f>
        <v/>
      </c>
      <c r="K16" s="18" t="str">
        <f>IF($A16="","",SUM($I$5:I16))</f>
        <v/>
      </c>
      <c r="L16" s="17" t="str">
        <f t="shared" si="2"/>
        <v/>
      </c>
      <c r="M16" s="24" t="str">
        <f t="shared" si="3"/>
        <v/>
      </c>
      <c r="N16" s="14" t="str">
        <f>IF($A16="","",C16*(1-参数!$B$27))</f>
        <v/>
      </c>
      <c r="O16" s="18" t="str">
        <f>IF($A16="","",H16*(C16-N16)+H16*N16*参数!$B$13+I16)</f>
        <v/>
      </c>
      <c r="P16" s="20" t="str">
        <f t="shared" si="4"/>
        <v/>
      </c>
      <c r="Q16" s="18" t="str">
        <f>IF($A16="","",SUM($H$5:H15)*B16-SUMPRODUCT($H$5:H15,$C$5:C15)-K15)</f>
        <v/>
      </c>
      <c r="R16" s="18" t="str">
        <f>IF($A16="","",参数!$B$5+SUM($H$5:H16)*参数!$B$7-SUMPRODUCT($H$5:H16,$C$5:C16)-K16-SUM($H$5:H16)*参数!$B$7*参数!$B$13)</f>
        <v/>
      </c>
      <c r="S16" s="12" t="str">
        <f t="shared" si="5"/>
        <v/>
      </c>
      <c r="T16" s="5"/>
    </row>
    <row r="17" spans="1:20" ht="2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0" customHeight="1">
      <c r="A19" s="71" t="s">
        <v>169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9"/>
      <c r="T19" s="5"/>
    </row>
    <row r="20" spans="1:20" ht="20" customHeight="1">
      <c r="A20" s="75" t="s">
        <v>170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9"/>
      <c r="T20" s="5"/>
    </row>
    <row r="21" spans="1:20" ht="20" customHeight="1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2"/>
      <c r="T21" s="5"/>
    </row>
    <row r="22" spans="1:20" ht="20" customHeight="1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2"/>
      <c r="T22" s="5"/>
    </row>
    <row r="23" spans="1:20" ht="20" customHeight="1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2"/>
      <c r="T23" s="5"/>
    </row>
    <row r="24" spans="1:20" ht="20" customHeight="1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  <c r="T24" s="5"/>
    </row>
    <row r="25" spans="1:20" ht="2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2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2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2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2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2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2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mergeCells count="4">
    <mergeCell ref="A1:J1"/>
    <mergeCell ref="A19:S19"/>
    <mergeCell ref="A20:S24"/>
    <mergeCell ref="A2:J2"/>
  </mergeCells>
  <conditionalFormatting sqref="S5:S16">
    <cfRule type="containsText" dxfId="5" priority="1" operator="containsText" text="OK"/>
    <cfRule type="containsText" dxfId="4" priority="2" operator="containsText" text="风险"/>
    <cfRule type="containsText" dxfId="3" priority="3" operator="containsText" text="不足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pane ySplit="4" topLeftCell="A5" activePane="bottomLeft" state="frozen"/>
      <selection pane="bottomLeft" sqref="A1:N1"/>
    </sheetView>
  </sheetViews>
  <sheetFormatPr baseColWidth="10" defaultColWidth="8.83203125" defaultRowHeight="15"/>
  <cols>
    <col min="1" max="1" width="7" customWidth="1"/>
    <col min="2" max="2" width="10" customWidth="1"/>
    <col min="3" max="3" width="11" customWidth="1"/>
    <col min="4" max="4" width="13" customWidth="1"/>
    <col min="5" max="5" width="10" customWidth="1"/>
    <col min="6" max="6" width="13" customWidth="1"/>
    <col min="7" max="7" width="10" customWidth="1"/>
    <col min="8" max="9" width="14" customWidth="1"/>
    <col min="10" max="10" width="13" customWidth="1"/>
    <col min="11" max="12" width="11" customWidth="1"/>
    <col min="13" max="13" width="12" customWidth="1"/>
    <col min="14" max="14" width="14" customWidth="1"/>
  </cols>
  <sheetData>
    <row r="1" spans="1:14" ht="21" customHeight="1">
      <c r="A1" s="73" t="s">
        <v>171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ht="21" customHeight="1">
      <c r="A2" s="76" t="s">
        <v>172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21" customHeight="1"/>
    <row r="4" spans="1:14" ht="21" customHeight="1">
      <c r="A4" s="4" t="s">
        <v>49</v>
      </c>
      <c r="B4" s="4" t="s">
        <v>173</v>
      </c>
      <c r="C4" s="4" t="s">
        <v>50</v>
      </c>
      <c r="D4" s="4" t="s">
        <v>174</v>
      </c>
      <c r="E4" s="4" t="s">
        <v>175</v>
      </c>
      <c r="F4" s="4" t="s">
        <v>176</v>
      </c>
      <c r="G4" s="4" t="s">
        <v>51</v>
      </c>
      <c r="H4" s="4" t="s">
        <v>177</v>
      </c>
      <c r="I4" s="4" t="s">
        <v>178</v>
      </c>
      <c r="J4" s="4" t="s">
        <v>52</v>
      </c>
      <c r="K4" s="4" t="s">
        <v>136</v>
      </c>
      <c r="L4" s="4" t="s">
        <v>179</v>
      </c>
      <c r="M4" s="4" t="s">
        <v>180</v>
      </c>
      <c r="N4" s="4" t="s">
        <v>139</v>
      </c>
    </row>
    <row r="5" spans="1:14" ht="21" customHeight="1">
      <c r="A5" s="3">
        <v>0</v>
      </c>
      <c r="B5" s="34">
        <v>0</v>
      </c>
      <c r="C5" s="35">
        <f>参数!$B$6</f>
        <v>1.5</v>
      </c>
      <c r="D5" s="36">
        <f>参数!$B$5/参数!$B$6</f>
        <v>6666.666666666667</v>
      </c>
      <c r="E5" s="37">
        <v>10</v>
      </c>
      <c r="F5" s="38">
        <f>IF(D5=0,"",(参数!$B$5/参数!$B$6*参数!$B$26)/D5)</f>
        <v>10</v>
      </c>
      <c r="G5" s="38">
        <f t="shared" ref="G5:G16" si="0">IF(E5="",F5,E5)</f>
        <v>10</v>
      </c>
      <c r="H5" s="36">
        <f t="shared" ref="H5:H16" si="1">D5*G5</f>
        <v>66666.666666666672</v>
      </c>
      <c r="I5" s="36">
        <f>0</f>
        <v>0</v>
      </c>
      <c r="J5" s="39">
        <f t="shared" ref="J5:J16" si="2">D5*C5</f>
        <v>10000</v>
      </c>
      <c r="K5" s="35">
        <f>IF(G5=0,"",C5*(1-1/G5)/(1-参数!$B$11-参数!$B$12))</f>
        <v>1.3608870967741937</v>
      </c>
      <c r="L5" s="40">
        <f t="shared" ref="L5:L16" si="3">IF(K5="","",1-K5/C5)</f>
        <v>9.2741935483870885E-2</v>
      </c>
      <c r="M5" s="38">
        <f>参数!$B$21</f>
        <v>2.8153153153153156</v>
      </c>
      <c r="N5" s="3" t="str">
        <f>IF(G5&gt;M5,"超过安全杠杆",IF(L5&lt;参数!$B$17,"插针风险","OK"))</f>
        <v>超过安全杠杆</v>
      </c>
    </row>
    <row r="6" spans="1:14" ht="21" customHeight="1">
      <c r="A6" s="3">
        <v>1</v>
      </c>
      <c r="B6" s="34">
        <v>0.04</v>
      </c>
      <c r="C6" s="35">
        <f t="shared" ref="C6:C16" si="4">C5*(1+B6)</f>
        <v>1.56</v>
      </c>
      <c r="D6" s="36">
        <f t="shared" ref="D6:D16" si="5">MAX(0,D5+I6)</f>
        <v>9171.1538461538476</v>
      </c>
      <c r="E6" s="37">
        <v>8</v>
      </c>
      <c r="F6" s="38">
        <f>IF(D6=0,"",(参数!$B$5/参数!$B$6*参数!$B$26)/D6)</f>
        <v>7.2691689382819593</v>
      </c>
      <c r="G6" s="38">
        <f t="shared" si="0"/>
        <v>8</v>
      </c>
      <c r="H6" s="36">
        <f t="shared" si="1"/>
        <v>73369.23076923078</v>
      </c>
      <c r="I6" s="36">
        <f>H5*(C6-C5)/C6-H5*参数!$B$13-H5*参数!$B$15*参数!$B$16*((C5+C6)/2)/C6</f>
        <v>2504.4871794871815</v>
      </c>
      <c r="J6" s="39">
        <f t="shared" si="2"/>
        <v>14307.000000000002</v>
      </c>
      <c r="K6" s="35">
        <f>IF(G6=0,"",C6*(1-1/G6)/(1-参数!$B$11-参数!$B$12))</f>
        <v>1.376008064516129</v>
      </c>
      <c r="L6" s="40">
        <f t="shared" si="3"/>
        <v>0.11794354838709686</v>
      </c>
      <c r="M6" s="38">
        <f>参数!$B$21</f>
        <v>2.8153153153153156</v>
      </c>
      <c r="N6" s="3" t="str">
        <f>IF(G6&gt;M6,"超过安全杠杆",IF(L6&lt;参数!$B$17,"插针风险","OK"))</f>
        <v>超过安全杠杆</v>
      </c>
    </row>
    <row r="7" spans="1:14" ht="21" customHeight="1">
      <c r="A7" s="3">
        <v>2</v>
      </c>
      <c r="B7" s="34">
        <v>0.05</v>
      </c>
      <c r="C7" s="35">
        <f t="shared" si="4"/>
        <v>1.6380000000000001</v>
      </c>
      <c r="D7" s="36">
        <f t="shared" si="5"/>
        <v>12599.418498168503</v>
      </c>
      <c r="E7" s="37">
        <v>6</v>
      </c>
      <c r="F7" s="38">
        <f>IF(D7=0,"",(参数!$B$5/参数!$B$6*参数!$B$26)/D7)</f>
        <v>5.2912494871376472</v>
      </c>
      <c r="G7" s="38">
        <f t="shared" si="0"/>
        <v>6</v>
      </c>
      <c r="H7" s="36">
        <f t="shared" si="1"/>
        <v>75596.510989011018</v>
      </c>
      <c r="I7" s="36">
        <f>H6*(C7-C6)/C7-H6*参数!$B$13-H6*参数!$B$15*参数!$B$16*((C6+C7)/2)/C7</f>
        <v>3428.2646520146554</v>
      </c>
      <c r="J7" s="39">
        <f t="shared" si="2"/>
        <v>20637.847500000011</v>
      </c>
      <c r="K7" s="35">
        <f>IF(G7=0,"",C7*(1-1/G7)/(1-参数!$B$11-参数!$B$12))</f>
        <v>1.3760080645161292</v>
      </c>
      <c r="L7" s="40">
        <f t="shared" si="3"/>
        <v>0.15994623655913975</v>
      </c>
      <c r="M7" s="38">
        <f>参数!$B$21</f>
        <v>2.8153153153153156</v>
      </c>
      <c r="N7" s="3" t="str">
        <f>IF(G7&gt;M7,"超过安全杠杆",IF(L7&lt;参数!$B$17,"插针风险","OK"))</f>
        <v>超过安全杠杆</v>
      </c>
    </row>
    <row r="8" spans="1:14" ht="21" customHeight="1">
      <c r="A8" s="3">
        <v>3</v>
      </c>
      <c r="B8" s="34">
        <v>0.05</v>
      </c>
      <c r="C8" s="35">
        <f t="shared" si="4"/>
        <v>1.7199000000000002</v>
      </c>
      <c r="D8" s="36">
        <f t="shared" si="5"/>
        <v>16131.755469976461</v>
      </c>
      <c r="E8" s="37">
        <v>5</v>
      </c>
      <c r="F8" s="38">
        <f>IF(D8=0,"",(参数!$B$5/参数!$B$6*参数!$B$26)/D8)</f>
        <v>4.1326355827016483</v>
      </c>
      <c r="G8" s="38">
        <f t="shared" si="0"/>
        <v>5</v>
      </c>
      <c r="H8" s="36">
        <f t="shared" si="1"/>
        <v>80658.777349882308</v>
      </c>
      <c r="I8" s="36">
        <f>H7*(C8-C7)/C8-H7*参数!$B$13-H7*参数!$B$15*参数!$B$16*((C7+C8)/2)/C8</f>
        <v>3532.336971807958</v>
      </c>
      <c r="J8" s="39">
        <f t="shared" si="2"/>
        <v>27745.006232812517</v>
      </c>
      <c r="K8" s="35">
        <f>IF(G8=0,"",C8*(1-1/G8)/(1-参数!$B$11-参数!$B$12))</f>
        <v>1.3870161290322582</v>
      </c>
      <c r="L8" s="40">
        <f t="shared" si="3"/>
        <v>0.19354838709677424</v>
      </c>
      <c r="M8" s="38">
        <f>参数!$B$21</f>
        <v>2.8153153153153156</v>
      </c>
      <c r="N8" s="3" t="str">
        <f>IF(G8&gt;M8,"超过安全杠杆",IF(L8&lt;参数!$B$17,"插针风险","OK"))</f>
        <v>超过安全杠杆</v>
      </c>
    </row>
    <row r="9" spans="1:14" ht="21" customHeight="1">
      <c r="A9" s="3">
        <v>4</v>
      </c>
      <c r="B9" s="34">
        <v>7.0000000000000007E-2</v>
      </c>
      <c r="C9" s="35">
        <f t="shared" si="4"/>
        <v>1.8402930000000004</v>
      </c>
      <c r="D9" s="36">
        <f t="shared" si="5"/>
        <v>21336.696525178337</v>
      </c>
      <c r="E9" s="37">
        <v>4</v>
      </c>
      <c r="F9" s="38">
        <f>IF(D9=0,"",(参数!$B$5/参数!$B$6*参数!$B$26)/D9)</f>
        <v>3.1245074225992187</v>
      </c>
      <c r="G9" s="38">
        <f t="shared" si="0"/>
        <v>4</v>
      </c>
      <c r="H9" s="36">
        <f t="shared" si="1"/>
        <v>85346.786100713347</v>
      </c>
      <c r="I9" s="36">
        <f>H8*(C9-C8)/C9-H8*参数!$B$13-H8*参数!$B$15*参数!$B$16*((C8+C9)/2)/C9</f>
        <v>5204.9410552018753</v>
      </c>
      <c r="J9" s="39">
        <f t="shared" si="2"/>
        <v>39265.773258410023</v>
      </c>
      <c r="K9" s="35">
        <f>IF(G9=0,"",C9*(1-1/G9)/(1-参数!$B$11-参数!$B$12))</f>
        <v>1.3913505544354841</v>
      </c>
      <c r="L9" s="40">
        <f t="shared" si="3"/>
        <v>0.24395161290322587</v>
      </c>
      <c r="M9" s="38">
        <f>参数!$B$21</f>
        <v>2.8153153153153156</v>
      </c>
      <c r="N9" s="3" t="str">
        <f>IF(G9&gt;M9,"超过安全杠杆",IF(L9&lt;参数!$B$17,"插针风险","OK"))</f>
        <v>超过安全杠杆</v>
      </c>
    </row>
    <row r="10" spans="1:14" ht="21" customHeight="1">
      <c r="A10" s="3">
        <v>5</v>
      </c>
      <c r="B10" s="34">
        <v>0.1</v>
      </c>
      <c r="C10" s="35">
        <f t="shared" si="4"/>
        <v>2.0243223000000006</v>
      </c>
      <c r="D10" s="36">
        <f t="shared" si="5"/>
        <v>29019.846973926651</v>
      </c>
      <c r="E10" s="37">
        <v>3</v>
      </c>
      <c r="F10" s="38">
        <f>IF(D10=0,"",(参数!$B$5/参数!$B$6*参数!$B$26)/D10)</f>
        <v>2.2972783669936101</v>
      </c>
      <c r="G10" s="38">
        <f t="shared" si="0"/>
        <v>3</v>
      </c>
      <c r="H10" s="36">
        <f t="shared" si="1"/>
        <v>87059.540921779961</v>
      </c>
      <c r="I10" s="36">
        <f>H9*(C10-C9)/C10-H9*参数!$B$13-H9*参数!$B$15*参数!$B$16*((C9+C10)/2)/C10</f>
        <v>7683.1504487483135</v>
      </c>
      <c r="J10" s="39">
        <f t="shared" si="2"/>
        <v>58745.523371907257</v>
      </c>
      <c r="K10" s="35">
        <f>IF(G10=0,"",C10*(1-1/G10)/(1-参数!$B$11-参数!$B$12))</f>
        <v>1.3604316532258069</v>
      </c>
      <c r="L10" s="40">
        <f t="shared" si="3"/>
        <v>0.32795698924731176</v>
      </c>
      <c r="M10" s="38">
        <f>参数!$B$21</f>
        <v>2.8153153153153156</v>
      </c>
      <c r="N10" s="3" t="str">
        <f>IF(G10&gt;M10,"超过安全杠杆",IF(L10&lt;参数!$B$17,"插针风险","OK"))</f>
        <v>超过安全杠杆</v>
      </c>
    </row>
    <row r="11" spans="1:14" ht="21" customHeight="1">
      <c r="A11" s="3">
        <v>6</v>
      </c>
      <c r="B11" s="34">
        <v>0.2</v>
      </c>
      <c r="C11" s="35">
        <f t="shared" si="4"/>
        <v>2.4291867600000008</v>
      </c>
      <c r="D11" s="36">
        <f t="shared" si="5"/>
        <v>43453.593362583422</v>
      </c>
      <c r="E11" s="37">
        <v>2</v>
      </c>
      <c r="F11" s="38">
        <f>IF(D11=0,"",(参数!$B$5/参数!$B$6*参数!$B$26)/D11)</f>
        <v>1.5342037679229383</v>
      </c>
      <c r="G11" s="38">
        <f t="shared" si="0"/>
        <v>2</v>
      </c>
      <c r="H11" s="36">
        <f t="shared" si="1"/>
        <v>86907.186725166845</v>
      </c>
      <c r="I11" s="36">
        <f>H10*(C11-C10)/C11-H10*参数!$B$13-H10*参数!$B$15*参数!$B$16*((C10+C11)/2)/C11</f>
        <v>14433.746388656773</v>
      </c>
      <c r="J11" s="39">
        <f t="shared" si="2"/>
        <v>105556.89367081157</v>
      </c>
      <c r="K11" s="35">
        <f>IF(G11=0,"",C11*(1-1/G11)/(1-参数!$B$11-参数!$B$12))</f>
        <v>1.2243884879032263</v>
      </c>
      <c r="L11" s="40">
        <f t="shared" si="3"/>
        <v>0.49596774193548387</v>
      </c>
      <c r="M11" s="38">
        <f>参数!$B$21</f>
        <v>2.8153153153153156</v>
      </c>
      <c r="N11" s="3" t="str">
        <f>IF(G11&gt;M11,"超过安全杠杆",IF(L11&lt;参数!$B$17,"插针风险","OK"))</f>
        <v>OK</v>
      </c>
    </row>
    <row r="12" spans="1:14" ht="21" customHeight="1">
      <c r="A12" s="3">
        <v>7</v>
      </c>
      <c r="B12" s="34">
        <v>0.35</v>
      </c>
      <c r="C12" s="35">
        <f t="shared" si="4"/>
        <v>3.2794021260000012</v>
      </c>
      <c r="D12" s="36">
        <f t="shared" si="5"/>
        <v>65910.249473131873</v>
      </c>
      <c r="E12" s="37">
        <v>1.5</v>
      </c>
      <c r="F12" s="38">
        <f>IF(D12=0,"",(参数!$B$5/参数!$B$6*参数!$B$26)/D12)</f>
        <v>1.0114764729246419</v>
      </c>
      <c r="G12" s="38">
        <f t="shared" si="0"/>
        <v>1.5</v>
      </c>
      <c r="H12" s="36">
        <f t="shared" si="1"/>
        <v>98865.374209697809</v>
      </c>
      <c r="I12" s="36">
        <f>H11*(C12-C11)/C12-H11*参数!$B$13-H11*参数!$B$15*参数!$B$16*((C11+C12)/2)/C12</f>
        <v>22456.656110548443</v>
      </c>
      <c r="J12" s="39">
        <f t="shared" si="2"/>
        <v>216146.21224737912</v>
      </c>
      <c r="K12" s="35">
        <f>IF(G12=0,"",C12*(1-1/G12)/(1-参数!$B$11-参数!$B$12))</f>
        <v>1.1019496391129038</v>
      </c>
      <c r="L12" s="40">
        <f t="shared" si="3"/>
        <v>0.66397849462365588</v>
      </c>
      <c r="M12" s="38">
        <f>参数!$B$21</f>
        <v>2.8153153153153156</v>
      </c>
      <c r="N12" s="3" t="str">
        <f>IF(G12&gt;M12,"超过安全杠杆",IF(L12&lt;参数!$B$17,"插针风险","OK"))</f>
        <v>OK</v>
      </c>
    </row>
    <row r="13" spans="1:14" ht="21" customHeight="1">
      <c r="A13" s="3">
        <v>8</v>
      </c>
      <c r="B13" s="34">
        <v>0.5</v>
      </c>
      <c r="C13" s="35">
        <f t="shared" si="4"/>
        <v>4.9191031890000021</v>
      </c>
      <c r="D13" s="36">
        <f t="shared" si="5"/>
        <v>98781.338641619572</v>
      </c>
      <c r="E13" s="37">
        <v>1</v>
      </c>
      <c r="F13" s="38">
        <f>IF(D13=0,"",(参数!$B$5/参数!$B$6*参数!$B$26)/D13)</f>
        <v>0.67489130622672067</v>
      </c>
      <c r="G13" s="38">
        <f t="shared" si="0"/>
        <v>1</v>
      </c>
      <c r="H13" s="36">
        <f t="shared" si="1"/>
        <v>98781.338641619572</v>
      </c>
      <c r="I13" s="36">
        <f>H12*(C13-C12)/C13-H12*参数!$B$13-H12*参数!$B$15*参数!$B$16*((C12+C13)/2)/C13</f>
        <v>32871.089168487699</v>
      </c>
      <c r="J13" s="39">
        <f t="shared" si="2"/>
        <v>485915.59792567999</v>
      </c>
      <c r="K13" s="35">
        <f>IF(G13=0,"",C13*(1-1/G13)/(1-参数!$B$11-参数!$B$12))</f>
        <v>0</v>
      </c>
      <c r="L13" s="40">
        <f t="shared" si="3"/>
        <v>1</v>
      </c>
      <c r="M13" s="38">
        <f>参数!$B$21</f>
        <v>2.8153153153153156</v>
      </c>
      <c r="N13" s="3" t="str">
        <f>IF(G13&gt;M13,"超过安全杠杆",IF(L13&lt;参数!$B$17,"插针风险","OK"))</f>
        <v>OK</v>
      </c>
    </row>
    <row r="14" spans="1:14" ht="21" customHeight="1">
      <c r="A14" s="3">
        <v>9</v>
      </c>
      <c r="B14" s="34">
        <v>1</v>
      </c>
      <c r="C14" s="35">
        <f t="shared" si="4"/>
        <v>9.8382063780000042</v>
      </c>
      <c r="D14" s="36">
        <f t="shared" si="5"/>
        <v>148090.51335805003</v>
      </c>
      <c r="E14" s="37">
        <v>0.5</v>
      </c>
      <c r="F14" s="38">
        <f>IF(D14=0,"",(参数!$B$5/参数!$B$6*参数!$B$26)/D14)</f>
        <v>0.45017513380807489</v>
      </c>
      <c r="G14" s="38">
        <f t="shared" si="0"/>
        <v>0.5</v>
      </c>
      <c r="H14" s="36">
        <f t="shared" si="1"/>
        <v>74045.256679025013</v>
      </c>
      <c r="I14" s="36">
        <f>H13*(C14-C13)/C14-H13*参数!$B$13-H13*参数!$B$15*参数!$B$16*((C13+C14)/2)/C14</f>
        <v>49309.174716430454</v>
      </c>
      <c r="J14" s="39">
        <f t="shared" si="2"/>
        <v>1456945.0330404625</v>
      </c>
      <c r="K14" s="35">
        <f>IF(G14=0,"",C14*(1-1/G14)/(1-参数!$B$11-参数!$B$12))</f>
        <v>-9.9175467520161327</v>
      </c>
      <c r="L14" s="40">
        <f t="shared" si="3"/>
        <v>2.008064516129032</v>
      </c>
      <c r="M14" s="38">
        <f>参数!$B$21</f>
        <v>2.8153153153153156</v>
      </c>
      <c r="N14" s="3" t="str">
        <f>IF(G14&gt;M14,"超过安全杠杆",IF(L14&lt;参数!$B$17,"插针风险","OK"))</f>
        <v>OK</v>
      </c>
    </row>
    <row r="15" spans="1:14" ht="21" customHeight="1">
      <c r="A15" s="3">
        <v>10</v>
      </c>
      <c r="B15" s="34">
        <v>2</v>
      </c>
      <c r="C15" s="35">
        <f t="shared" si="4"/>
        <v>29.514619134000014</v>
      </c>
      <c r="D15" s="36">
        <f t="shared" si="5"/>
        <v>197394.78160539016</v>
      </c>
      <c r="E15" s="37">
        <v>0.25</v>
      </c>
      <c r="F15" s="38">
        <f>IF(D15=0,"",(参数!$B$5/参数!$B$6*参数!$B$26)/D15)</f>
        <v>0.33773267015710329</v>
      </c>
      <c r="G15" s="38">
        <f t="shared" si="0"/>
        <v>0.25</v>
      </c>
      <c r="H15" s="36">
        <f t="shared" si="1"/>
        <v>49348.695401347541</v>
      </c>
      <c r="I15" s="36">
        <f>H14*(C15-C14)/C15-H14*参数!$B$13-H14*参数!$B$15*参数!$B$16*((C14+C15)/2)/C15</f>
        <v>49304.268247340129</v>
      </c>
      <c r="J15" s="39">
        <f t="shared" si="2"/>
        <v>5826031.798122203</v>
      </c>
      <c r="K15" s="35">
        <f>IF(G15=0,"",C15*(1-1/G15)/(1-参数!$B$11-参数!$B$12))</f>
        <v>-89.257920768145212</v>
      </c>
      <c r="L15" s="40">
        <f t="shared" si="3"/>
        <v>4.024193548387097</v>
      </c>
      <c r="M15" s="38">
        <f>参数!$B$21</f>
        <v>2.8153153153153156</v>
      </c>
      <c r="N15" s="3" t="str">
        <f>IF(G15&gt;M15,"超过安全杠杆",IF(L15&lt;参数!$B$17,"插针风险","OK"))</f>
        <v>OK</v>
      </c>
    </row>
    <row r="16" spans="1:14" ht="21" customHeight="1">
      <c r="A16" s="3">
        <v>11</v>
      </c>
      <c r="B16" s="34">
        <v>5</v>
      </c>
      <c r="C16" s="35">
        <f t="shared" si="4"/>
        <v>177.08771480400009</v>
      </c>
      <c r="D16" s="36">
        <f t="shared" si="5"/>
        <v>238480.4492009104</v>
      </c>
      <c r="E16" s="37">
        <v>0.1</v>
      </c>
      <c r="F16" s="38">
        <f>IF(D16=0,"",(参数!$B$5/参数!$B$6*参数!$B$26)/D16)</f>
        <v>0.27954772347188356</v>
      </c>
      <c r="G16" s="38">
        <f t="shared" si="0"/>
        <v>0.1</v>
      </c>
      <c r="H16" s="36">
        <f t="shared" si="1"/>
        <v>23848.044920091041</v>
      </c>
      <c r="I16" s="36">
        <f>H15*(C16-C15)/C16-H15*参数!$B$13-H15*参数!$B$15*参数!$B$16*((C15+C16)/2)/C16</f>
        <v>41085.667595520237</v>
      </c>
      <c r="J16" s="39">
        <f t="shared" si="2"/>
        <v>42231957.774420649</v>
      </c>
      <c r="K16" s="35">
        <f>IF(G16=0,"",C16*(1-1/G16)/(1-参数!$B$11-参数!$B$12))</f>
        <v>-1606.6425738266137</v>
      </c>
      <c r="L16" s="40">
        <f t="shared" si="3"/>
        <v>10.07258064516129</v>
      </c>
      <c r="M16" s="38">
        <f>参数!$B$21</f>
        <v>2.8153153153153156</v>
      </c>
      <c r="N16" s="3" t="str">
        <f>IF(G16&gt;M16,"超过安全杠杆",IF(L16&lt;参数!$B$17,"插针风险","OK"))</f>
        <v>OK</v>
      </c>
    </row>
    <row r="17" spans="1:14" ht="21" customHeight="1"/>
    <row r="18" spans="1:14" ht="21" customHeight="1"/>
    <row r="19" spans="1:14" ht="21" customHeight="1">
      <c r="A19" s="77" t="s">
        <v>181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9"/>
    </row>
    <row r="20" spans="1:14" ht="21" customHeight="1">
      <c r="A20" s="75" t="s">
        <v>182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9"/>
    </row>
    <row r="21" spans="1:14" ht="21" customHeight="1">
      <c r="A21" s="75" t="s">
        <v>183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9"/>
    </row>
    <row r="22" spans="1:14" ht="21" customHeight="1">
      <c r="A22" s="75" t="s">
        <v>184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9"/>
    </row>
    <row r="23" spans="1:14" ht="21" customHeight="1">
      <c r="A23" s="75" t="s">
        <v>185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</row>
  </sheetData>
  <mergeCells count="7">
    <mergeCell ref="A23:N23"/>
    <mergeCell ref="A1:N1"/>
    <mergeCell ref="A22:N22"/>
    <mergeCell ref="A20:N20"/>
    <mergeCell ref="A21:N21"/>
    <mergeCell ref="A2:N2"/>
    <mergeCell ref="A19:N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0"/>
  <sheetViews>
    <sheetView topLeftCell="G1" workbookViewId="0">
      <pane ySplit="4" topLeftCell="A5" activePane="bottomLeft" state="frozen"/>
      <selection pane="bottomLeft" activeCell="K26" sqref="K26"/>
    </sheetView>
  </sheetViews>
  <sheetFormatPr baseColWidth="10" defaultColWidth="8.83203125" defaultRowHeight="15"/>
  <cols>
    <col min="1" max="1" width="16" customWidth="1"/>
    <col min="2" max="6" width="10" customWidth="1"/>
    <col min="7" max="7" width="24" customWidth="1"/>
    <col min="8" max="8" width="12" customWidth="1"/>
  </cols>
  <sheetData>
    <row r="1" spans="1:20" ht="20" customHeight="1">
      <c r="A1" s="66" t="s">
        <v>186</v>
      </c>
      <c r="B1" s="61"/>
      <c r="C1" s="61"/>
      <c r="D1" s="61"/>
      <c r="E1" s="61"/>
      <c r="F1" s="61"/>
      <c r="G1" s="61"/>
      <c r="H1" s="61"/>
      <c r="I1" s="61"/>
      <c r="J1" s="61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0" customHeight="1">
      <c r="A2" s="70" t="s">
        <v>187</v>
      </c>
      <c r="B2" s="61"/>
      <c r="C2" s="61"/>
      <c r="D2" s="61"/>
      <c r="E2" s="61"/>
      <c r="F2" s="61"/>
      <c r="G2" s="61"/>
      <c r="H2" s="61"/>
      <c r="I2" s="61"/>
      <c r="J2" s="61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20" customHeight="1">
      <c r="A4" s="4" t="s">
        <v>188</v>
      </c>
      <c r="B4" s="25">
        <v>1</v>
      </c>
      <c r="C4" s="25">
        <v>1.5</v>
      </c>
      <c r="D4" s="25">
        <v>2</v>
      </c>
      <c r="E4" s="25">
        <v>2.5</v>
      </c>
      <c r="F4" s="25">
        <v>2.86</v>
      </c>
      <c r="G4" s="4" t="s">
        <v>189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0" customHeight="1">
      <c r="A5" s="26">
        <v>1</v>
      </c>
      <c r="B5" s="27">
        <f>MAX(0,(1+B$4*((参数!$B$7/参数!$B$6)^(1/$A5)*(1-参数!$B$14)/(1+参数!$B$14)-1)-B$4*参数!$B$13-B$4*((参数!$B$7/参数!$B$6)^(1/$A5)*(1-参数!$B$14)/(1+参数!$B$14))*参数!$B$13-B$4*参数!$B$15*参数!$B$16)^$A5)</f>
        <v>26.596518581418586</v>
      </c>
      <c r="C5" s="27">
        <f>MAX(0,(1+C$4*((参数!$B$7/参数!$B$6)^(1/$A5)*(1-参数!$B$14)/(1+参数!$B$14)-1)-C$4*参数!$B$13-C$4*((参数!$B$7/参数!$B$6)^(1/$A5)*(1-参数!$B$14)/(1+参数!$B$14))*参数!$B$13-C$4*参数!$B$15*参数!$B$16)^$A5)</f>
        <v>39.394777872127875</v>
      </c>
      <c r="D5" s="27">
        <f>MAX(0,(1+D$4*((参数!$B$7/参数!$B$6)^(1/$A5)*(1-参数!$B$14)/(1+参数!$B$14)-1)-D$4*参数!$B$13-D$4*((参数!$B$7/参数!$B$6)^(1/$A5)*(1-参数!$B$14)/(1+参数!$B$14))*参数!$B$13-D$4*参数!$B$15*参数!$B$16)^$A5)</f>
        <v>52.193037162837172</v>
      </c>
      <c r="E5" s="27">
        <f>MAX(0,(1+E$4*((参数!$B$7/参数!$B$6)^(1/$A5)*(1-参数!$B$14)/(1+参数!$B$14)-1)-E$4*参数!$B$13-E$4*((参数!$B$7/参数!$B$6)^(1/$A5)*(1-参数!$B$14)/(1+参数!$B$14))*参数!$B$13-E$4*参数!$B$15*参数!$B$16)^$A5)</f>
        <v>64.991296453546468</v>
      </c>
      <c r="F5" s="27">
        <f>MAX(0,(1+F$4*((参数!$B$7/参数!$B$6)^(1/$A5)*(1-参数!$B$14)/(1+参数!$B$14)-1)-F$4*参数!$B$13-F$4*((参数!$B$7/参数!$B$6)^(1/$A5)*(1-参数!$B$14)/(1+参数!$B$14))*参数!$B$13-F$4*参数!$B$15*参数!$B$16)^$A5)</f>
        <v>74.206043142857141</v>
      </c>
      <c r="G5" s="12" t="str">
        <f>IF(F$4&gt;参数!$B$21,"2.86x 可能超过U本位安全杠杆","")</f>
        <v>2.86x 可能超过U本位安全杠杆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20" customHeight="1">
      <c r="A6" s="26">
        <v>2</v>
      </c>
      <c r="B6" s="27">
        <f>MAX(0,(1+B$4*((参数!$B$7/参数!$B$6)^(1/$A6)*(1-参数!$B$14)/(1+参数!$B$14)-1)-B$4*参数!$B$13-B$4*((参数!$B$7/参数!$B$6)^(1/$A6)*(1-参数!$B$14)/(1+参数!$B$14))*参数!$B$13-B$4*参数!$B$15*参数!$B$16)^$A6)</f>
        <v>26.51908010749003</v>
      </c>
      <c r="C6" s="27">
        <f>MAX(0,(1+C$4*((参数!$B$7/参数!$B$6)^(1/$A6)*(1-参数!$B$14)/(1+参数!$B$14)-1)-C$4*参数!$B$13-C$4*((参数!$B$7/参数!$B$6)^(1/$A6)*(1-参数!$B$14)/(1+参数!$B$14))*参数!$B$13-C$4*参数!$B$15*参数!$B$16)^$A6)</f>
        <v>52.19342830050693</v>
      </c>
      <c r="D6" s="27">
        <f>MAX(0,(1+D$4*((参数!$B$7/参数!$B$6)^(1/$A6)*(1-参数!$B$14)/(1+参数!$B$14)-1)-D$4*参数!$B$13-D$4*((参数!$B$7/参数!$B$6)^(1/$A6)*(1-参数!$B$14)/(1+参数!$B$14))*参数!$B$13-D$4*参数!$B$15*参数!$B$16)^$A6)</f>
        <v>86.477648586371743</v>
      </c>
      <c r="E6" s="27">
        <f>MAX(0,(1+E$4*((参数!$B$7/参数!$B$6)^(1/$A6)*(1-参数!$B$14)/(1+参数!$B$14)-1)-E$4*参数!$B$13-E$4*((参数!$B$7/参数!$B$6)^(1/$A6)*(1-参数!$B$14)/(1+参数!$B$14))*参数!$B$13-E$4*参数!$B$15*参数!$B$16)^$A6)</f>
        <v>129.37174096508451</v>
      </c>
      <c r="F6" s="27">
        <f>MAX(0,(1+F$4*((参数!$B$7/参数!$B$6)^(1/$A6)*(1-参数!$B$14)/(1+参数!$B$14)-1)-F$4*参数!$B$13-F$4*((参数!$B$7/参数!$B$6)^(1/$A6)*(1-参数!$B$14)/(1+参数!$B$14))*参数!$B$13-F$4*参数!$B$15*参数!$B$16)^$A6)</f>
        <v>165.58672027764911</v>
      </c>
      <c r="G6" s="12" t="str">
        <f>IF(F$4&gt;参数!$B$21,"2.86x 可能超过U本位安全杠杆","")</f>
        <v>2.86x 可能超过U本位安全杠杆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0" customHeight="1">
      <c r="A7" s="26">
        <v>4</v>
      </c>
      <c r="B7" s="27">
        <f>MAX(0,(1+B$4*((参数!$B$7/参数!$B$6)^(1/$A7)*(1-参数!$B$14)/(1+参数!$B$14)-1)-B$4*参数!$B$13-B$4*((参数!$B$7/参数!$B$6)^(1/$A7)*(1-参数!$B$14)/(1+参数!$B$14))*参数!$B$13-B$4*参数!$B$15*参数!$B$16)^$A7)</f>
        <v>26.348859252491604</v>
      </c>
      <c r="C7" s="27">
        <f>MAX(0,(1+C$4*((参数!$B$7/参数!$B$6)^(1/$A7)*(1-参数!$B$14)/(1+参数!$B$14)-1)-C$4*参数!$B$13-C$4*((参数!$B$7/参数!$B$6)^(1/$A7)*(1-参数!$B$14)/(1+参数!$B$14))*参数!$B$13-C$4*参数!$B$15*参数!$B$16)^$A7)</f>
        <v>70.577641040776101</v>
      </c>
      <c r="D7" s="27">
        <f>MAX(0,(1+D$4*((参数!$B$7/参数!$B$6)^(1/$A7)*(1-参数!$B$14)/(1+参数!$B$14)-1)-D$4*参数!$B$13-D$4*((参数!$B$7/参数!$B$6)^(1/$A7)*(1-参数!$B$14)/(1+参数!$B$14))*参数!$B$13-D$4*参数!$B$15*参数!$B$16)^$A7)</f>
        <v>155.49853918855331</v>
      </c>
      <c r="E7" s="27">
        <f>MAX(0,(1+E$4*((参数!$B$7/参数!$B$6)^(1/$A7)*(1-参数!$B$14)/(1+参数!$B$14)-1)-E$4*参数!$B$13-E$4*((参数!$B$7/参数!$B$6)^(1/$A7)*(1-参数!$B$14)/(1+参数!$B$14))*参数!$B$13-E$4*参数!$B$15*参数!$B$16)^$A7)</f>
        <v>300.66450329269327</v>
      </c>
      <c r="F7" s="27">
        <f>MAX(0,(1+F$4*((参数!$B$7/参数!$B$6)^(1/$A7)*(1-参数!$B$14)/(1+参数!$B$14)-1)-F$4*参数!$B$13-F$4*((参数!$B$7/参数!$B$6)^(1/$A7)*(1-参数!$B$14)/(1+参数!$B$14))*参数!$B$13-F$4*参数!$B$15*参数!$B$16)^$A7)</f>
        <v>455.47443547046163</v>
      </c>
      <c r="G7" s="12" t="str">
        <f>IF(F$4&gt;参数!$B$21,"2.86x 可能超过U本位安全杠杆","")</f>
        <v>2.86x 可能超过U本位安全杠杆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20" customHeight="1">
      <c r="A8" s="26">
        <v>8</v>
      </c>
      <c r="B8" s="27">
        <f>MAX(0,(1+B$4*((参数!$B$7/参数!$B$6)^(1/$A8)*(1-参数!$B$14)/(1+参数!$B$14)-1)-B$4*参数!$B$13-B$4*((参数!$B$7/参数!$B$6)^(1/$A8)*(1-参数!$B$14)/(1+参数!$B$14))*参数!$B$13-B$4*参数!$B$15*参数!$B$16)^$A8)</f>
        <v>25.992883477632709</v>
      </c>
      <c r="C8" s="27">
        <f>MAX(0,(1+C$4*((参数!$B$7/参数!$B$6)^(1/$A8)*(1-参数!$B$14)/(1+参数!$B$14)-1)-C$4*参数!$B$13-C$4*((参数!$B$7/参数!$B$6)^(1/$A8)*(1-参数!$B$14)/(1+参数!$B$14))*参数!$B$13-C$4*参数!$B$15*参数!$B$16)^$A8)</f>
        <v>89.572897070210573</v>
      </c>
      <c r="D8" s="27">
        <f>MAX(0,(1+D$4*((参数!$B$7/参数!$B$6)^(1/$A8)*(1-参数!$B$14)/(1+参数!$B$14)-1)-D$4*参数!$B$13-D$4*((参数!$B$7/参数!$B$6)^(1/$A8)*(1-参数!$B$14)/(1+参数!$B$14))*参数!$B$13-D$4*参数!$B$15*参数!$B$16)^$A8)</f>
        <v>261.47038290378447</v>
      </c>
      <c r="E8" s="27">
        <f>MAX(0,(1+E$4*((参数!$B$7/参数!$B$6)^(1/$A8)*(1-参数!$B$14)/(1+参数!$B$14)-1)-E$4*参数!$B$13-E$4*((参数!$B$7/参数!$B$6)^(1/$A8)*(1-参数!$B$14)/(1+参数!$B$14))*参数!$B$13-E$4*参数!$B$15*参数!$B$16)^$A8)</f>
        <v>672.45227613708391</v>
      </c>
      <c r="F8" s="27">
        <f>MAX(0,(1+F$4*((参数!$B$7/参数!$B$6)^(1/$A8)*(1-参数!$B$14)/(1+参数!$B$14)-1)-F$4*参数!$B$13-F$4*((参数!$B$7/参数!$B$6)^(1/$A8)*(1-参数!$B$14)/(1+参数!$B$14))*参数!$B$13-F$4*参数!$B$15*参数!$B$16)^$A8)</f>
        <v>1246.3932708494838</v>
      </c>
      <c r="G8" s="12" t="str">
        <f>IF(F$4&gt;参数!$B$21,"2.86x 可能超过U本位安全杠杆","")</f>
        <v>2.86x 可能超过U本位安全杠杆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0" customHeight="1">
      <c r="A9" s="26">
        <v>12</v>
      </c>
      <c r="B9" s="27">
        <f>MAX(0,(1+B$4*((参数!$B$7/参数!$B$6)^(1/$A9)*(1-参数!$B$14)/(1+参数!$B$14)-1)-B$4*参数!$B$13-B$4*((参数!$B$7/参数!$B$6)^(1/$A9)*(1-参数!$B$14)/(1+参数!$B$14))*参数!$B$13-B$4*参数!$B$15*参数!$B$16)^$A9)</f>
        <v>25.635375085867086</v>
      </c>
      <c r="C9" s="27">
        <f>MAX(0,(1+C$4*((参数!$B$7/参数!$B$6)^(1/$A9)*(1-参数!$B$14)/(1+参数!$B$14)-1)-C$4*参数!$B$13-C$4*((参数!$B$7/参数!$B$6)^(1/$A9)*(1-参数!$B$14)/(1+参数!$B$14))*参数!$B$13-C$4*参数!$B$15*参数!$B$16)^$A9)</f>
        <v>98.214627220714419</v>
      </c>
      <c r="D9" s="27">
        <f>MAX(0,(1+D$4*((参数!$B$7/参数!$B$6)^(1/$A9)*(1-参数!$B$14)/(1+参数!$B$14)-1)-D$4*参数!$B$13-D$4*((参数!$B$7/参数!$B$6)^(1/$A9)*(1-参数!$B$14)/(1+参数!$B$14))*参数!$B$13-D$4*参数!$B$15*参数!$B$16)^$A9)</f>
        <v>328.65626815523171</v>
      </c>
      <c r="E9" s="27">
        <f>MAX(0,(1+E$4*((参数!$B$7/参数!$B$6)^(1/$A9)*(1-参数!$B$14)/(1+参数!$B$14)-1)-E$4*参数!$B$13-E$4*((参数!$B$7/参数!$B$6)^(1/$A9)*(1-参数!$B$14)/(1+参数!$B$14))*参数!$B$13-E$4*参数!$B$15*参数!$B$16)^$A9)</f>
        <v>984.69728795439175</v>
      </c>
      <c r="F9" s="27">
        <f>MAX(0,(1+F$4*((参数!$B$7/参数!$B$6)^(1/$A9)*(1-参数!$B$14)/(1+参数!$B$14)-1)-F$4*参数!$B$13-F$4*((参数!$B$7/参数!$B$6)^(1/$A9)*(1-参数!$B$14)/(1+参数!$B$14))*参数!$B$13-F$4*参数!$B$15*参数!$B$16)^$A9)</f>
        <v>2047.8748450357243</v>
      </c>
      <c r="G9" s="12" t="str">
        <f>IF(F$4&gt;参数!$B$21,"2.86x 可能超过U本位安全杠杆","")</f>
        <v>2.86x 可能超过U本位安全杠杆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20" customHeight="1">
      <c r="A10" s="26">
        <v>18</v>
      </c>
      <c r="B10" s="27">
        <f>MAX(0,(1+B$4*((参数!$B$7/参数!$B$6)^(1/$A10)*(1-参数!$B$14)/(1+参数!$B$14)-1)-B$4*参数!$B$13-B$4*((参数!$B$7/参数!$B$6)^(1/$A10)*(1-参数!$B$14)/(1+参数!$B$14))*参数!$B$13-B$4*参数!$B$15*参数!$B$16)^$A10)</f>
        <v>25.105126716353933</v>
      </c>
      <c r="C10" s="27">
        <f>MAX(0,(1+C$4*((参数!$B$7/参数!$B$6)^(1/$A10)*(1-参数!$B$14)/(1+参数!$B$14)-1)-C$4*参数!$B$13-C$4*((参数!$B$7/参数!$B$6)^(1/$A10)*(1-参数!$B$14)/(1+参数!$B$14))*参数!$B$13-C$4*参数!$B$15*参数!$B$16)^$A10)</f>
        <v>103.66936596321813</v>
      </c>
      <c r="D10" s="27">
        <f>MAX(0,(1+D$4*((参数!$B$7/参数!$B$6)^(1/$A10)*(1-参数!$B$14)/(1+参数!$B$14)-1)-D$4*参数!$B$13-D$4*((参数!$B$7/参数!$B$6)^(1/$A10)*(1-参数!$B$14)/(1+参数!$B$14))*参数!$B$13-D$4*参数!$B$15*参数!$B$16)^$A10)</f>
        <v>385.95731417040906</v>
      </c>
      <c r="E10" s="27">
        <f>MAX(0,(1+E$4*((参数!$B$7/参数!$B$6)^(1/$A10)*(1-参数!$B$14)/(1+参数!$B$14)-1)-E$4*参数!$B$13-E$4*((参数!$B$7/参数!$B$6)^(1/$A10)*(1-参数!$B$14)/(1+参数!$B$14))*参数!$B$13-E$4*参数!$B$15*参数!$B$16)^$A10)</f>
        <v>1313.8905456672803</v>
      </c>
      <c r="F10" s="27">
        <f>MAX(0,(1+F$4*((参数!$B$7/参数!$B$6)^(1/$A10)*(1-参数!$B$14)/(1+参数!$B$14)-1)-F$4*参数!$B$13-F$4*((参数!$B$7/参数!$B$6)^(1/$A10)*(1-参数!$B$14)/(1+参数!$B$14))*参数!$B$13-F$4*参数!$B$15*参数!$B$16)^$A10)</f>
        <v>3022.4988209471858</v>
      </c>
      <c r="G10" s="12" t="str">
        <f>IF(F$4&gt;参数!$B$21,"2.86x 可能超过U本位安全杠杆","")</f>
        <v>2.86x 可能超过U本位安全杠杆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20" customHeight="1">
      <c r="A11" s="26">
        <v>24</v>
      </c>
      <c r="B11" s="27">
        <f>MAX(0,(1+B$4*((参数!$B$7/参数!$B$6)^(1/$A11)*(1-参数!$B$14)/(1+参数!$B$14)-1)-B$4*参数!$B$13-B$4*((参数!$B$7/参数!$B$6)^(1/$A11)*(1-参数!$B$14)/(1+参数!$B$14))*参数!$B$13-B$4*参数!$B$15*参数!$B$16)^$A11)</f>
        <v>24.584480510612774</v>
      </c>
      <c r="C11" s="27">
        <f>MAX(0,(1+C$4*((参数!$B$7/参数!$B$6)^(1/$A11)*(1-参数!$B$14)/(1+参数!$B$14)-1)-C$4*参数!$B$13-C$4*((参数!$B$7/参数!$B$6)^(1/$A11)*(1-参数!$B$14)/(1+参数!$B$14))*参数!$B$13-C$4*参数!$B$15*参数!$B$16)^$A11)</f>
        <v>105.2164811144609</v>
      </c>
      <c r="D11" s="27">
        <f>MAX(0,(1+D$4*((参数!$B$7/参数!$B$6)^(1/$A11)*(1-参数!$B$14)/(1+参数!$B$14)-1)-D$4*参数!$B$13-D$4*((参数!$B$7/参数!$B$6)^(1/$A11)*(1-参数!$B$14)/(1+参数!$B$14))*参数!$B$13-D$4*参数!$B$15*参数!$B$16)^$A11)</f>
        <v>414.4101594968476</v>
      </c>
      <c r="E11" s="27">
        <f>MAX(0,(1+E$4*((参数!$B$7/参数!$B$6)^(1/$A11)*(1-参数!$B$14)/(1+参数!$B$14)-1)-E$4*参数!$B$13-E$4*((参数!$B$7/参数!$B$6)^(1/$A11)*(1-参数!$B$14)/(1+参数!$B$14))*参数!$B$13-E$4*参数!$B$15*参数!$B$16)^$A11)</f>
        <v>1515.6587723949456</v>
      </c>
      <c r="F11" s="27">
        <f>MAX(0,(1+F$4*((参数!$B$7/参数!$B$6)^(1/$A11)*(1-参数!$B$14)/(1+参数!$B$14)-1)-F$4*参数!$B$13-F$4*((参数!$B$7/参数!$B$6)^(1/$A11)*(1-参数!$B$14)/(1+参数!$B$14))*参数!$B$13-F$4*参数!$B$15*参数!$B$16)^$A11)</f>
        <v>3698.5734070551284</v>
      </c>
      <c r="G11" s="12" t="str">
        <f>IF(F$4&gt;参数!$B$21,"2.86x 可能超过U本位安全杠杆","")</f>
        <v>2.86x 可能超过U本位安全杠杆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2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20" customHeight="1">
      <c r="A13" s="4" t="s">
        <v>190</v>
      </c>
      <c r="B13" s="25">
        <v>1</v>
      </c>
      <c r="C13" s="25">
        <v>1.5</v>
      </c>
      <c r="D13" s="25">
        <v>2</v>
      </c>
      <c r="E13" s="25">
        <v>2.5</v>
      </c>
      <c r="F13" s="25">
        <v>2.86</v>
      </c>
      <c r="G13" s="4" t="s">
        <v>189</v>
      </c>
      <c r="H13" s="4" t="s">
        <v>191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20" customHeight="1">
      <c r="A14" s="26">
        <v>1</v>
      </c>
      <c r="B14" s="27">
        <f>MAX(0,((1+B$13*(1/(1+参数!$B$14)-1/($H14*(1-参数!$B$14)))-B$13*参数!$B$13/(1+参数!$B$14)-B$13*参数!$B$13/($H14*(1-参数!$B$14))-B$13*参数!$B$15*参数!$B$16*2/(1+$H14))*$H14)^$A14)</f>
        <v>52.288529375854679</v>
      </c>
      <c r="C14" s="27">
        <f>MAX(0,((1+C$13*(1/(1+参数!$B$14)-1/($H14*(1-参数!$B$14)))-C$13*参数!$B$13/(1+参数!$B$14)-C$13*参数!$B$13/($H14*(1-参数!$B$14))-C$13*参数!$B$15*参数!$B$16*2/(1+$H14))*$H14)^$A14)</f>
        <v>65.099460730448698</v>
      </c>
      <c r="D14" s="27">
        <f>MAX(0,((1+D$13*(1/(1+参数!$B$14)-1/($H14*(1-参数!$B$14)))-D$13*参数!$B$13/(1+参数!$B$14)-D$13*参数!$B$13/($H14*(1-参数!$B$14))-D$13*参数!$B$15*参数!$B$16*2/(1+$H14))*$H14)^$A14)</f>
        <v>77.910392085042702</v>
      </c>
      <c r="E14" s="27">
        <f>MAX(0,((1+E$13*(1/(1+参数!$B$14)-1/($H14*(1-参数!$B$14)))-E$13*参数!$B$13/(1+参数!$B$14)-E$13*参数!$B$13/($H14*(1-参数!$B$14))-E$13*参数!$B$15*参数!$B$16*2/(1+$H14))*$H14)^$A14)</f>
        <v>90.721323439636706</v>
      </c>
      <c r="F14" s="27">
        <f>MAX(0,((1+F$13*(1/(1+参数!$B$14)-1/($H14*(1-参数!$B$14)))-F$13*参数!$B$13/(1+参数!$B$14)-F$13*参数!$B$13/($H14*(1-参数!$B$14))-F$13*参数!$B$15*参数!$B$16*2/(1+$H14))*$H14)^$A14)</f>
        <v>99.945194014944391</v>
      </c>
      <c r="G14" s="12" t="str">
        <f>IF(F$13&gt;参数!$B$22,"2.86x 通常超过币本位安全杠杆","")</f>
        <v>2.86x 通常超过币本位安全杠杆</v>
      </c>
      <c r="H14" s="28">
        <f>(参数!$B$7/参数!$B$6)^(1/$A14)</f>
        <v>26.666666666666668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20" customHeight="1">
      <c r="A15" s="26">
        <v>2</v>
      </c>
      <c r="B15" s="27">
        <f>MAX(0,((1+B$13*(1/(1+参数!$B$14)-1/($H15*(1-参数!$B$14)))-B$13*参数!$B$13/(1+参数!$B$14)-B$13*参数!$B$13/($H15*(1-参数!$B$14))-B$13*参数!$B$15*参数!$B$16*2/(1+$H15))*$H15)^$A15)</f>
        <v>86.817617910619148</v>
      </c>
      <c r="C15" s="27">
        <f>MAX(0,((1+C$13*(1/(1+参数!$B$14)-1/($H15*(1-参数!$B$14)))-C$13*参数!$B$13/(1+参数!$B$14)-C$13*参数!$B$13/($H15*(1-参数!$B$14))-C$13*参数!$B$15*参数!$B$16*2/(1+$H15))*$H15)^$A15)</f>
        <v>129.83250926419748</v>
      </c>
      <c r="D15" s="27">
        <f>MAX(0,((1+D$13*(1/(1+参数!$B$14)-1/($H15*(1-参数!$B$14)))-D$13*参数!$B$13/(1+参数!$B$14)-D$13*参数!$B$13/($H15*(1-参数!$B$14))-D$13*参数!$B$15*参数!$B$16*2/(1+$H15))*$H15)^$A15)</f>
        <v>181.4736777721775</v>
      </c>
      <c r="E15" s="27">
        <f>MAX(0,((1+E$13*(1/(1+参数!$B$14)-1/($H15*(1-参数!$B$14)))-E$13*参数!$B$13/(1+参数!$B$14)-E$13*参数!$B$13/($H15*(1-参数!$B$14))-E$13*参数!$B$15*参数!$B$16*2/(1+$H15))*$H15)^$A15)</f>
        <v>241.74112343455874</v>
      </c>
      <c r="F15" s="27">
        <f>MAX(0,((1+F$13*(1/(1+参数!$B$14)-1/($H15*(1-参数!$B$14)))-F$13*参数!$B$13/(1+参数!$B$14)-F$13*参数!$B$13/($H15*(1-参数!$B$14))-F$13*参数!$B$15*参数!$B$16*2/(1+$H15))*$H15)^$A15)</f>
        <v>290.47507512547872</v>
      </c>
      <c r="G15" s="12" t="str">
        <f>IF(F$13&gt;参数!$B$22,"2.86x 通常超过币本位安全杠杆","")</f>
        <v>2.86x 通常超过币本位安全杠杆</v>
      </c>
      <c r="H15" s="28">
        <f>(参数!$B$7/参数!$B$6)^(1/$A15)</f>
        <v>5.1639777949432224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0" customHeight="1">
      <c r="A16" s="26">
        <v>4</v>
      </c>
      <c r="B16" s="27">
        <f>MAX(0,((1+B$13*(1/(1+参数!$B$14)-1/($H16*(1-参数!$B$14)))-B$13*参数!$B$13/(1+参数!$B$14)-B$13*参数!$B$13/($H16*(1-参数!$B$14))-B$13*参数!$B$15*参数!$B$16*2/(1+$H16))*$H16)^$A16)</f>
        <v>156.90386667869126</v>
      </c>
      <c r="C16" s="27">
        <f>MAX(0,((1+C$13*(1/(1+参数!$B$14)-1/($H16*(1-参数!$B$14)))-C$13*参数!$B$13/(1+参数!$B$14)-C$13*参数!$B$13/($H16*(1-参数!$B$14))-C$13*参数!$B$15*参数!$B$16*2/(1+$H16))*$H16)^$A16)</f>
        <v>303.13478746410453</v>
      </c>
      <c r="D16" s="27">
        <f>MAX(0,((1+D$13*(1/(1+参数!$B$14)-1/($H16*(1-参数!$B$14)))-D$13*参数!$B$13/(1+参数!$B$14)-D$13*参数!$B$13/($H16*(1-参数!$B$14))-D$13*参数!$B$15*参数!$B$16*2/(1+$H16))*$H16)^$A16)</f>
        <v>533.5075181645924</v>
      </c>
      <c r="E16" s="27">
        <f>MAX(0,((1+E$13*(1/(1+参数!$B$14)-1/($H16*(1-参数!$B$14)))-E$13*参数!$B$13/(1+参数!$B$14)-E$13*参数!$B$13/($H16*(1-参数!$B$14))-E$13*参数!$B$15*参数!$B$16*2/(1+$H16))*$H16)^$A16)</f>
        <v>875.40081240483698</v>
      </c>
      <c r="F16" s="27">
        <f>MAX(0,((1+F$13*(1/(1+参数!$B$14)-1/($H16*(1-参数!$B$14)))-F$13*参数!$B$13/(1+参数!$B$14)-F$13*参数!$B$13/($H16*(1-参数!$B$14))-F$13*参数!$B$15*参数!$B$16*2/(1+$H16))*$H16)^$A16)</f>
        <v>1208.0049964933439</v>
      </c>
      <c r="G16" s="12" t="str">
        <f>IF(F$13&gt;参数!$B$22,"2.86x 通常超过币本位安全杠杆","")</f>
        <v>2.86x 通常超过币本位安全杠杆</v>
      </c>
      <c r="H16" s="28">
        <f>(参数!$B$7/参数!$B$6)^(1/$A16)</f>
        <v>2.2724387329349987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0" customHeight="1">
      <c r="A17" s="26">
        <v>8</v>
      </c>
      <c r="B17" s="27">
        <f>MAX(0,((1+B$13*(1/(1+参数!$B$14)-1/($H17*(1-参数!$B$14)))-B$13*参数!$B$13/(1+参数!$B$14)-B$13*参数!$B$13/($H17*(1-参数!$B$14))-B$13*参数!$B$15*参数!$B$16*2/(1+$H17))*$H17)^$A17)</f>
        <v>267.00498497219246</v>
      </c>
      <c r="C17" s="27">
        <f>MAX(0,((1+C$13*(1/(1+参数!$B$14)-1/($H17*(1-参数!$B$14)))-C$13*参数!$B$13/(1+参数!$B$14)-C$13*参数!$B$13/($H17*(1-参数!$B$14))-C$13*参数!$B$15*参数!$B$16*2/(1+$H17))*$H17)^$A17)</f>
        <v>685.62460523947095</v>
      </c>
      <c r="D17" s="27">
        <f>MAX(0,((1+D$13*(1/(1+参数!$B$14)-1/($H17*(1-参数!$B$14)))-D$13*参数!$B$13/(1+参数!$B$14)-D$13*参数!$B$13/($H17*(1-参数!$B$14))-D$13*参数!$B$15*参数!$B$16*2/(1+$H17))*$H17)^$A17)</f>
        <v>1593.7631124724771</v>
      </c>
      <c r="E17" s="27">
        <f>MAX(0,((1+E$13*(1/(1+参数!$B$14)-1/($H17*(1-参数!$B$14)))-E$13*参数!$B$13/(1+参数!$B$14)-E$13*参数!$B$13/($H17*(1-参数!$B$14))-E$13*参数!$B$15*参数!$B$16*2/(1+$H17))*$H17)^$A17)</f>
        <v>3418.158849454645</v>
      </c>
      <c r="F17" s="27">
        <f>MAX(0,((1+F$13*(1/(1+参数!$B$14)-1/($H17*(1-参数!$B$14)))-F$13*参数!$B$13/(1+参数!$B$14)-F$13*参数!$B$13/($H17*(1-参数!$B$14))-F$13*参数!$B$15*参数!$B$16*2/(1+$H17))*$H17)^$A17)</f>
        <v>5678.2053386665702</v>
      </c>
      <c r="G17" s="12" t="str">
        <f>IF(F$13&gt;参数!$B$22,"2.86x 通常超过币本位安全杠杆","")</f>
        <v>2.86x 通常超过币本位安全杠杆</v>
      </c>
      <c r="H17" s="28">
        <f>(参数!$B$7/参数!$B$6)^(1/$A17)</f>
        <v>1.5074610220284301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0" customHeight="1">
      <c r="A18" s="26">
        <v>12</v>
      </c>
      <c r="B18" s="27">
        <f>MAX(0,((1+B$13*(1/(1+参数!$B$14)-1/($H18*(1-参数!$B$14)))-B$13*参数!$B$13/(1+参数!$B$14)-B$13*参数!$B$13/($H18*(1-参数!$B$14))-B$13*参数!$B$15*参数!$B$16*2/(1+$H18))*$H18)^$A18)</f>
        <v>339.98632108375892</v>
      </c>
      <c r="C18" s="27">
        <f>MAX(0,((1+C$13*(1/(1+参数!$B$14)-1/($H18*(1-参数!$B$14)))-C$13*参数!$B$13/(1+参数!$B$14)-C$13*参数!$B$13/($H18*(1-参数!$B$14))-C$13*参数!$B$15*参数!$B$16*2/(1+$H18))*$H18)^$A18)</f>
        <v>1016.5601059217726</v>
      </c>
      <c r="D18" s="27">
        <f>MAX(0,((1+D$13*(1/(1+参数!$B$14)-1/($H18*(1-参数!$B$14)))-D$13*参数!$B$13/(1+参数!$B$14)-D$13*参数!$B$13/($H18*(1-参数!$B$14))-D$13*参数!$B$15*参数!$B$16*2/(1+$H18))*$H18)^$A18)</f>
        <v>2773.2998747669039</v>
      </c>
      <c r="E18" s="27">
        <f>MAX(0,((1+E$13*(1/(1+参数!$B$14)-1/($H18*(1-参数!$B$14)))-E$13*参数!$B$13/(1+参数!$B$14)-E$13*参数!$B$13/($H18*(1-参数!$B$14))-E$13*参数!$B$15*参数!$B$16*2/(1+$H18))*$H18)^$A18)</f>
        <v>7001.7099945720411</v>
      </c>
      <c r="F18" s="27">
        <f>MAX(0,((1+F$13*(1/(1+参数!$B$14)-1/($H18*(1-参数!$B$14)))-F$13*参数!$B$13/(1+参数!$B$14)-F$13*参数!$B$13/($H18*(1-参数!$B$14))-F$13*参数!$B$15*参数!$B$16*2/(1+$H18))*$H18)^$A18)</f>
        <v>13082.905213230215</v>
      </c>
      <c r="G18" s="12" t="str">
        <f>IF(F$13&gt;参数!$B$22,"2.86x 通常超过币本位安全杠杆","")</f>
        <v>2.86x 通常超过币本位安全杠杆</v>
      </c>
      <c r="H18" s="28">
        <f>(参数!$B$7/参数!$B$6)^(1/$A18)</f>
        <v>1.3147123049221945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0" customHeight="1">
      <c r="A19" s="26">
        <v>18</v>
      </c>
      <c r="B19" s="27">
        <f>MAX(0,((1+B$13*(1/(1+参数!$B$14)-1/($H19*(1-参数!$B$14)))-B$13*参数!$B$13/(1+参数!$B$14)-B$13*参数!$B$13/($H19*(1-参数!$B$14))-B$13*参数!$B$15*参数!$B$16*2/(1+$H19))*$H19)^$A19)</f>
        <v>407.38736146326949</v>
      </c>
      <c r="C19" s="27">
        <f>MAX(0,((1+C$13*(1/(1+参数!$B$14)-1/($H19*(1-参数!$B$14)))-C$13*参数!$B$13/(1+参数!$B$14)-C$13*参数!$B$13/($H19*(1-参数!$B$14))-C$13*参数!$B$15*参数!$B$16*2/(1+$H19))*$H19)^$A19)</f>
        <v>1383.3382590636029</v>
      </c>
      <c r="D19" s="27">
        <f>MAX(0,((1+D$13*(1/(1+参数!$B$14)-1/($H19*(1-参数!$B$14)))-D$13*参数!$B$13/(1+参数!$B$14)-D$13*参数!$B$13/($H19*(1-参数!$B$14))-D$13*参数!$B$15*参数!$B$16*2/(1+$H19))*$H19)^$A19)</f>
        <v>4345.8320185418006</v>
      </c>
      <c r="E19" s="27">
        <f>MAX(0,((1+E$13*(1/(1+参数!$B$14)-1/($H19*(1-参数!$B$14)))-E$13*参数!$B$13/(1+参数!$B$14)-E$13*参数!$B$13/($H19*(1-参数!$B$14))-E$13*参数!$B$15*参数!$B$16*2/(1+$H19))*$H19)^$A19)</f>
        <v>12749.199753244156</v>
      </c>
      <c r="F19" s="27">
        <f>MAX(0,((1+F$13*(1/(1+参数!$B$14)-1/($H19*(1-参数!$B$14)))-F$13*参数!$B$13/(1+参数!$B$14)-F$13*参数!$B$13/($H19*(1-参数!$B$14))-F$13*参数!$B$15*参数!$B$16*2/(1+$H19))*$H19)^$A19)</f>
        <v>26638.73036734838</v>
      </c>
      <c r="G19" s="12" t="str">
        <f>IF(F$13&gt;参数!$B$22,"2.86x 通常超过币本位安全杠杆","")</f>
        <v>2.86x 通常超过币本位安全杠杆</v>
      </c>
      <c r="H19" s="28">
        <f>(参数!$B$7/参数!$B$6)^(1/$A19)</f>
        <v>1.2001084264791364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20" customHeight="1">
      <c r="A20" s="26">
        <v>24</v>
      </c>
      <c r="B20" s="27">
        <f>MAX(0,((1+B$13*(1/(1+参数!$B$14)-1/($H20*(1-参数!$B$14)))-B$13*参数!$B$13/(1+参数!$B$14)-B$13*参数!$B$13/($H20*(1-参数!$B$14))-B$13*参数!$B$15*参数!$B$16*2/(1+$H20))*$H20)^$A20)</f>
        <v>446.49370333806291</v>
      </c>
      <c r="C20" s="27">
        <f>MAX(0,((1+C$13*(1/(1+参数!$B$14)-1/($H20*(1-参数!$B$14)))-C$13*参数!$B$13/(1+参数!$B$14)-C$13*参数!$B$13/($H20*(1-参数!$B$14))-C$13*参数!$B$15*参数!$B$16*2/(1+$H20))*$H20)^$A20)</f>
        <v>1628.3784833296349</v>
      </c>
      <c r="D20" s="27">
        <f>MAX(0,((1+D$13*(1/(1+参数!$B$14)-1/($H20*(1-参数!$B$14)))-D$13*参数!$B$13/(1+参数!$B$14)-D$13*参数!$B$13/($H20*(1-参数!$B$14))-D$13*参数!$B$15*参数!$B$16*2/(1+$H20))*$H20)^$A20)</f>
        <v>5558.3125128965612</v>
      </c>
      <c r="E20" s="27">
        <f>MAX(0,((1+E$13*(1/(1+参数!$B$14)-1/($H20*(1-参数!$B$14)))-E$13*参数!$B$13/(1+参数!$B$14)-E$13*参数!$B$13/($H20*(1-参数!$B$14))-E$13*参数!$B$15*参数!$B$16*2/(1+$H20))*$H20)^$A20)</f>
        <v>17872.191135552283</v>
      </c>
      <c r="F20" s="27">
        <f>MAX(0,((1+F$13*(1/(1+参数!$B$14)-1/($H20*(1-参数!$B$14)))-F$13*参数!$B$13/(1+参数!$B$14)-F$13*参数!$B$13/($H20*(1-参数!$B$14))-F$13*参数!$B$15*参数!$B$16*2/(1+$H20))*$H20)^$A20)</f>
        <v>40057.416086402969</v>
      </c>
      <c r="G20" s="12" t="str">
        <f>IF(F$13&gt;参数!$B$22,"2.86x 通常超过币本位安全杠杆","")</f>
        <v>2.86x 通常超过币本位安全杠杆</v>
      </c>
      <c r="H20" s="28">
        <f>(参数!$B$7/参数!$B$6)^(1/$A20)</f>
        <v>1.1466090462412175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2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2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2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2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2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2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2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2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2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2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2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mergeCells count="2">
    <mergeCell ref="A1:J1"/>
    <mergeCell ref="A2:J2"/>
  </mergeCells>
  <conditionalFormatting sqref="B5:F11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conditionalFormatting sqref="B14:F20">
    <cfRule type="colorScale" priority="2">
      <colorScale>
        <cfvo type="min"/>
        <cfvo type="percentile" val="50"/>
        <cfvo type="max"/>
        <color rgb="FFFCA5A5"/>
        <color rgb="FFFDE68A"/>
        <color rgb="FF86EFAC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2"/>
  <sheetViews>
    <sheetView tabSelected="1" workbookViewId="0">
      <pane ySplit="3" topLeftCell="A4" activePane="bottomLeft" state="frozen"/>
      <selection pane="bottomLeft" activeCell="F6" sqref="F6"/>
    </sheetView>
  </sheetViews>
  <sheetFormatPr baseColWidth="10" defaultColWidth="8.83203125" defaultRowHeight="15"/>
  <cols>
    <col min="1" max="1" width="24" customWidth="1"/>
    <col min="2" max="2" width="12" customWidth="1"/>
    <col min="3" max="3" width="14" customWidth="1"/>
    <col min="4" max="4" width="12" customWidth="1"/>
    <col min="5" max="5" width="10" customWidth="1"/>
    <col min="6" max="6" width="36" customWidth="1"/>
  </cols>
  <sheetData>
    <row r="1" spans="1:20" ht="20" customHeight="1">
      <c r="A1" s="66" t="s">
        <v>192</v>
      </c>
      <c r="B1" s="61"/>
      <c r="C1" s="61"/>
      <c r="D1" s="61"/>
      <c r="E1" s="61"/>
      <c r="F1" s="61"/>
      <c r="G1" s="61"/>
      <c r="H1" s="61"/>
      <c r="I1" s="61"/>
      <c r="J1" s="61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0" customHeight="1">
      <c r="A2" s="70" t="s">
        <v>193</v>
      </c>
      <c r="B2" s="61"/>
      <c r="C2" s="61"/>
      <c r="D2" s="61"/>
      <c r="E2" s="61"/>
      <c r="F2" s="61"/>
      <c r="G2" s="61"/>
      <c r="H2" s="61"/>
      <c r="I2" s="61"/>
      <c r="J2" s="61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20" customHeight="1">
      <c r="A4" s="4" t="s">
        <v>194</v>
      </c>
      <c r="B4" s="4" t="s">
        <v>195</v>
      </c>
      <c r="C4" s="4" t="s">
        <v>196</v>
      </c>
      <c r="D4" s="4" t="s">
        <v>197</v>
      </c>
      <c r="E4" s="4" t="s">
        <v>139</v>
      </c>
      <c r="F4" s="4" t="s">
        <v>189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0" customHeight="1">
      <c r="A5" s="1" t="s">
        <v>198</v>
      </c>
      <c r="B5" s="29">
        <f>参数!B6</f>
        <v>1.5</v>
      </c>
      <c r="C5" s="29" t="str">
        <f>"&gt;0"</f>
        <v>&gt;0</v>
      </c>
      <c r="D5" s="29">
        <f>B5</f>
        <v>1.5</v>
      </c>
      <c r="E5" s="1" t="str">
        <f>IF(B5&gt;0,"OK","FAIL")</f>
        <v>OK</v>
      </c>
      <c r="F5" s="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20" customHeight="1">
      <c r="A6" s="1" t="s">
        <v>199</v>
      </c>
      <c r="B6" s="29">
        <f>参数!B7</f>
        <v>40</v>
      </c>
      <c r="C6" s="29">
        <f>参数!B6</f>
        <v>1.5</v>
      </c>
      <c r="D6" s="29">
        <f t="shared" ref="D6:D11" si="0">B6-C6</f>
        <v>38.5</v>
      </c>
      <c r="E6" s="1" t="str">
        <f>IF(B6&gt;C6,"OK","FAIL")</f>
        <v>OK</v>
      </c>
      <c r="F6" s="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0" customHeight="1">
      <c r="A7" s="1" t="s">
        <v>200</v>
      </c>
      <c r="B7" s="29">
        <f>参数!B8</f>
        <v>12</v>
      </c>
      <c r="C7" s="29">
        <f>参数!B19</f>
        <v>24</v>
      </c>
      <c r="D7" s="29">
        <f t="shared" si="0"/>
        <v>-12</v>
      </c>
      <c r="E7" s="1" t="str">
        <f>IF(B7&lt;=C7,"OK","FAIL")</f>
        <v>OK</v>
      </c>
      <c r="F7" s="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20" customHeight="1">
      <c r="A8" s="1" t="s">
        <v>201</v>
      </c>
      <c r="B8" s="29">
        <f>参数!B9</f>
        <v>2.5</v>
      </c>
      <c r="C8" s="29">
        <f>参数!B21</f>
        <v>2.8153153153153156</v>
      </c>
      <c r="D8" s="29">
        <f t="shared" si="0"/>
        <v>-0.31531531531531565</v>
      </c>
      <c r="E8" s="1" t="str">
        <f>IF(B8&lt;=C8,"OK","WARN")</f>
        <v>OK</v>
      </c>
      <c r="F8" s="1" t="s">
        <v>202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0" customHeight="1">
      <c r="A9" s="1" t="s">
        <v>203</v>
      </c>
      <c r="B9" s="29">
        <f>参数!B9</f>
        <v>2.5</v>
      </c>
      <c r="C9" s="29">
        <f>参数!B22</f>
        <v>1.8156424581005588</v>
      </c>
      <c r="D9" s="29">
        <f t="shared" si="0"/>
        <v>0.6843575418994412</v>
      </c>
      <c r="E9" s="1" t="str">
        <f>IF(B9&lt;=C9,"OK","WARN")</f>
        <v>WARN</v>
      </c>
      <c r="F9" s="1" t="s">
        <v>204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20" customHeight="1">
      <c r="A10" s="1" t="s">
        <v>205</v>
      </c>
      <c r="B10" s="30">
        <f>COUNTIF(U本位滚仓!R5:R28,"*强平*")</f>
        <v>0</v>
      </c>
      <c r="C10" s="29">
        <f>0</f>
        <v>0</v>
      </c>
      <c r="D10" s="29">
        <f t="shared" si="0"/>
        <v>0</v>
      </c>
      <c r="E10" s="1" t="str">
        <f>IF(B10=0,"OK","WARN")</f>
        <v>OK</v>
      </c>
      <c r="F10" s="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20" customHeight="1">
      <c r="A11" s="1" t="s">
        <v>206</v>
      </c>
      <c r="B11" s="30">
        <f>COUNTIF(币本位滚仓!T5:T28,"*强平*")</f>
        <v>0</v>
      </c>
      <c r="C11" s="29">
        <f>0</f>
        <v>0</v>
      </c>
      <c r="D11" s="29">
        <f t="shared" si="0"/>
        <v>0</v>
      </c>
      <c r="E11" s="1" t="str">
        <f>IF(B11=0,"OK","WARN")</f>
        <v>OK</v>
      </c>
      <c r="F11" s="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20" customHeight="1">
      <c r="A12" s="1" t="s">
        <v>207</v>
      </c>
      <c r="B12" s="29">
        <f>参数!B15</f>
        <v>1E-4</v>
      </c>
      <c r="C12" s="29" t="str">
        <f>"已输入"</f>
        <v>已输入</v>
      </c>
      <c r="D12" s="29"/>
      <c r="E12" s="12" t="str">
        <f>IF(ISNUMBER(B12),"OK","FAIL")</f>
        <v>OK</v>
      </c>
      <c r="F12" s="1" t="s">
        <v>208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20" customHeight="1">
      <c r="A13" s="1" t="s">
        <v>209</v>
      </c>
      <c r="B13" s="20">
        <f>MAX(风险预算滚仓!P5:P16)</f>
        <v>2.1188000000000075E-2</v>
      </c>
      <c r="C13" s="20">
        <f>3%</f>
        <v>0.03</v>
      </c>
      <c r="D13" s="20">
        <f>B13-C13</f>
        <v>-8.8119999999999241E-3</v>
      </c>
      <c r="E13" s="1" t="str">
        <f>IF(B13&lt;=C13,"OK","WARN")</f>
        <v>OK</v>
      </c>
      <c r="F13" s="12" t="s">
        <v>210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2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2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2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2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2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2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2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20" customHeight="1">
      <c r="A25" s="5"/>
      <c r="B25" s="5"/>
      <c r="C25" s="5"/>
      <c r="D25" s="5"/>
      <c r="E25" s="5"/>
      <c r="F25" s="5"/>
      <c r="G25" s="5"/>
      <c r="H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2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2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2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2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2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2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42">
      <c r="A41" s="31" t="s">
        <v>211</v>
      </c>
      <c r="B41" s="41">
        <f>MAX(目标币仓降杠杆!G5:G16)</f>
        <v>10</v>
      </c>
      <c r="C41" s="41">
        <f>参数!$B$21</f>
        <v>2.8153153153153156</v>
      </c>
      <c r="D41" s="41">
        <f>B41-C41</f>
        <v>7.1846846846846848</v>
      </c>
      <c r="E41" s="31" t="str">
        <f>IF(B41&lt;=C41,"OK","WARN")</f>
        <v>WARN</v>
      </c>
      <c r="F41" s="42" t="s">
        <v>212</v>
      </c>
    </row>
    <row r="42" spans="1:20" ht="42">
      <c r="A42" s="31" t="s">
        <v>211</v>
      </c>
      <c r="B42" s="41">
        <f>MAX(目标币仓降杠杆!G5:G16)</f>
        <v>10</v>
      </c>
      <c r="C42" s="41">
        <f>参数!$B$21</f>
        <v>2.8153153153153156</v>
      </c>
      <c r="D42" s="41">
        <f>B42-C42</f>
        <v>7.1846846846846848</v>
      </c>
      <c r="E42" s="31" t="str">
        <f>IF(B42&lt;=C42,"OK","WARN")</f>
        <v>WARN</v>
      </c>
      <c r="F42" s="31" t="s">
        <v>212</v>
      </c>
    </row>
  </sheetData>
  <mergeCells count="2">
    <mergeCell ref="A1:J1"/>
    <mergeCell ref="A2:J2"/>
  </mergeCells>
  <conditionalFormatting sqref="E5:E13">
    <cfRule type="containsText" dxfId="2" priority="1" operator="containsText" text="OK"/>
    <cfRule type="containsText" dxfId="1" priority="2" operator="containsText" text="WARN"/>
    <cfRule type="containsText" dxfId="0" priority="3" operator="containsText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摘要</vt:lpstr>
      <vt:lpstr>图表</vt:lpstr>
      <vt:lpstr>参数</vt:lpstr>
      <vt:lpstr>U本位滚仓</vt:lpstr>
      <vt:lpstr>币本位滚仓</vt:lpstr>
      <vt:lpstr>风险预算滚仓</vt:lpstr>
      <vt:lpstr>目标币仓降杠杆</vt:lpstr>
      <vt:lpstr>敏感性分析</vt:lpstr>
      <vt:lpstr>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2026-05-05T05:50:36Z</dcterms:created>
  <dcterms:modified xsi:type="dcterms:W3CDTF">2026-05-20T03:18:05Z</dcterms:modified>
</cp:coreProperties>
</file>